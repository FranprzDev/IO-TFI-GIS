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G By ROG\Downloads\"/>
    </mc:Choice>
  </mc:AlternateContent>
  <xr:revisionPtr revIDLastSave="0" documentId="13_ncr:1_{18493362-87A8-4FFD-88EE-DF927E643C61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Conglomerados" sheetId="1" r:id="rId1"/>
    <sheet name="Localidad" sheetId="3" r:id="rId2"/>
  </sheets>
  <calcPr calcId="191029"/>
</workbook>
</file>

<file path=xl/calcChain.xml><?xml version="1.0" encoding="utf-8"?>
<calcChain xmlns="http://schemas.openxmlformats.org/spreadsheetml/2006/main">
  <c r="I182" i="3" l="1"/>
  <c r="I181" i="3"/>
  <c r="G181" i="3"/>
  <c r="I180" i="3"/>
  <c r="I179" i="3"/>
  <c r="I178" i="3"/>
  <c r="I177" i="3"/>
  <c r="I176" i="3"/>
  <c r="I175" i="3"/>
  <c r="G175" i="3"/>
  <c r="I174" i="3"/>
  <c r="G174" i="3"/>
  <c r="I173" i="3"/>
  <c r="I172" i="3"/>
  <c r="G172" i="3"/>
  <c r="I171" i="3"/>
  <c r="G171" i="3"/>
  <c r="I170" i="3"/>
  <c r="G170" i="3"/>
  <c r="I169" i="3"/>
  <c r="G169" i="3"/>
  <c r="I168" i="3"/>
  <c r="G168" i="3"/>
  <c r="I167" i="3"/>
  <c r="G167" i="3"/>
  <c r="I166" i="3"/>
  <c r="G166" i="3"/>
  <c r="I165" i="3"/>
  <c r="G165" i="3"/>
  <c r="I164" i="3"/>
  <c r="I163" i="3"/>
  <c r="I162" i="3"/>
  <c r="G162" i="3"/>
  <c r="I161" i="3"/>
  <c r="I160" i="3"/>
  <c r="I159" i="3"/>
  <c r="G159" i="3"/>
  <c r="I158" i="3"/>
  <c r="G158" i="3"/>
  <c r="I157" i="3"/>
  <c r="G157" i="3"/>
  <c r="I156" i="3"/>
  <c r="I155" i="3"/>
  <c r="G155" i="3"/>
  <c r="I154" i="3"/>
  <c r="G154" i="3"/>
  <c r="I153" i="3"/>
  <c r="G153" i="3"/>
  <c r="I152" i="3"/>
  <c r="G152" i="3"/>
  <c r="I151" i="3"/>
  <c r="G151" i="3"/>
  <c r="I150" i="3"/>
  <c r="G150" i="3"/>
  <c r="I149" i="3"/>
  <c r="G149" i="3"/>
  <c r="I148" i="3"/>
  <c r="I147" i="3"/>
  <c r="I146" i="3"/>
  <c r="G146" i="3"/>
  <c r="I145" i="3"/>
  <c r="G145" i="3"/>
  <c r="I144" i="3"/>
  <c r="G144" i="3"/>
  <c r="I143" i="3"/>
  <c r="G143" i="3"/>
  <c r="I142" i="3"/>
  <c r="I141" i="3"/>
  <c r="I140" i="3"/>
  <c r="G140" i="3"/>
  <c r="I139" i="3"/>
  <c r="I138" i="3"/>
  <c r="G138" i="3"/>
  <c r="I137" i="3"/>
  <c r="I136" i="3"/>
  <c r="G136" i="3"/>
  <c r="I135" i="3"/>
  <c r="I134" i="3"/>
  <c r="G134" i="3"/>
  <c r="I133" i="3"/>
  <c r="G133" i="3"/>
  <c r="I132" i="3"/>
  <c r="G132" i="3"/>
  <c r="I131" i="3"/>
  <c r="I130" i="3"/>
  <c r="G130" i="3"/>
  <c r="I129" i="3"/>
  <c r="I128" i="3"/>
  <c r="I127" i="3"/>
  <c r="G127" i="3"/>
  <c r="I126" i="3"/>
  <c r="G126" i="3"/>
  <c r="I125" i="3"/>
  <c r="G125" i="3"/>
  <c r="I124" i="3"/>
  <c r="I123" i="3"/>
  <c r="G123" i="3"/>
  <c r="I122" i="3"/>
  <c r="G122" i="3"/>
  <c r="I121" i="3"/>
  <c r="G121" i="3"/>
  <c r="I120" i="3"/>
  <c r="I119" i="3"/>
  <c r="I118" i="3"/>
  <c r="G118" i="3"/>
  <c r="I117" i="3"/>
  <c r="I116" i="3"/>
  <c r="I115" i="3"/>
  <c r="I114" i="3"/>
  <c r="I113" i="3"/>
  <c r="G113" i="3"/>
  <c r="I112" i="3"/>
  <c r="I111" i="3"/>
  <c r="G111" i="3"/>
  <c r="I110" i="3"/>
  <c r="G110" i="3"/>
  <c r="I109" i="3"/>
  <c r="I108" i="3"/>
  <c r="I107" i="3"/>
  <c r="G107" i="3"/>
  <c r="I106" i="3"/>
  <c r="I105" i="3"/>
  <c r="I104" i="3"/>
  <c r="I103" i="3"/>
  <c r="I102" i="3"/>
  <c r="I101" i="3"/>
  <c r="I100" i="3"/>
  <c r="I99" i="3"/>
  <c r="G99" i="3"/>
  <c r="I98" i="3"/>
  <c r="I97" i="3"/>
  <c r="G97" i="3"/>
  <c r="I96" i="3"/>
  <c r="I95" i="3"/>
  <c r="I94" i="3"/>
  <c r="I93" i="3"/>
  <c r="G93" i="3"/>
  <c r="I92" i="3"/>
  <c r="I91" i="3"/>
  <c r="I90" i="3"/>
  <c r="G90" i="3"/>
  <c r="I89" i="3"/>
  <c r="I88" i="3"/>
  <c r="G88" i="3"/>
  <c r="I87" i="3"/>
  <c r="G87" i="3"/>
  <c r="I86" i="3"/>
  <c r="G86" i="3"/>
  <c r="I85" i="3"/>
  <c r="I84" i="3"/>
  <c r="I83" i="3"/>
  <c r="I82" i="3"/>
  <c r="G82" i="3"/>
  <c r="I81" i="3"/>
  <c r="I80" i="3"/>
  <c r="I79" i="3"/>
  <c r="I78" i="3"/>
  <c r="G78" i="3"/>
  <c r="I77" i="3"/>
  <c r="G77" i="3"/>
  <c r="I76" i="3"/>
  <c r="G76" i="3"/>
  <c r="I75" i="3"/>
  <c r="I74" i="3"/>
  <c r="I73" i="3"/>
  <c r="G73" i="3"/>
  <c r="I72" i="3"/>
  <c r="G72" i="3"/>
  <c r="I71" i="3"/>
  <c r="I70" i="3"/>
  <c r="I69" i="3"/>
  <c r="I68" i="3"/>
  <c r="G68" i="3"/>
  <c r="I67" i="3"/>
  <c r="G67" i="3"/>
  <c r="I66" i="3"/>
  <c r="G66" i="3"/>
  <c r="I65" i="3"/>
  <c r="I64" i="3"/>
  <c r="I63" i="3"/>
  <c r="I62" i="3"/>
  <c r="I61" i="3"/>
  <c r="I60" i="3"/>
  <c r="I59" i="3"/>
  <c r="I58" i="3"/>
  <c r="I57" i="3"/>
  <c r="I56" i="3"/>
  <c r="G56" i="3"/>
  <c r="I55" i="3"/>
  <c r="I54" i="3"/>
  <c r="G54" i="3"/>
  <c r="I53" i="3"/>
  <c r="I52" i="3"/>
  <c r="G52" i="3"/>
  <c r="I51" i="3"/>
  <c r="I50" i="3"/>
  <c r="I49" i="3"/>
  <c r="I48" i="3"/>
  <c r="G48" i="3"/>
  <c r="I47" i="3"/>
  <c r="I46" i="3"/>
  <c r="I45" i="3"/>
  <c r="I44" i="3"/>
  <c r="G44" i="3"/>
  <c r="I43" i="3"/>
  <c r="G43" i="3"/>
  <c r="I42" i="3"/>
  <c r="I41" i="3"/>
  <c r="G41" i="3"/>
  <c r="I40" i="3"/>
  <c r="I39" i="3"/>
  <c r="G39" i="3"/>
  <c r="I38" i="3"/>
  <c r="G38" i="3"/>
  <c r="I37" i="3"/>
  <c r="I36" i="3"/>
  <c r="I35" i="3"/>
  <c r="I34" i="3"/>
  <c r="I33" i="3"/>
  <c r="I32" i="3"/>
  <c r="G32" i="3"/>
  <c r="I31" i="3"/>
  <c r="G31" i="3"/>
  <c r="I30" i="3"/>
  <c r="I29" i="3"/>
  <c r="G29" i="3"/>
  <c r="I28" i="3"/>
  <c r="G28" i="3"/>
  <c r="I27" i="3"/>
  <c r="G27" i="3"/>
  <c r="I26" i="3"/>
  <c r="G26" i="3"/>
  <c r="I25" i="3"/>
  <c r="I24" i="3"/>
  <c r="I23" i="3"/>
  <c r="I22" i="3"/>
  <c r="G22" i="3"/>
  <c r="I21" i="3"/>
  <c r="I20" i="3"/>
  <c r="I19" i="3"/>
  <c r="I18" i="3"/>
  <c r="G18" i="3"/>
  <c r="I17" i="3"/>
  <c r="G17" i="3"/>
  <c r="I16" i="3"/>
  <c r="I15" i="3"/>
  <c r="G15" i="3"/>
  <c r="I14" i="3"/>
  <c r="I13" i="3"/>
  <c r="G13" i="3"/>
  <c r="I12" i="3"/>
  <c r="G12" i="3"/>
  <c r="I11" i="3"/>
  <c r="I10" i="3"/>
  <c r="I9" i="3"/>
  <c r="G9" i="3"/>
  <c r="I8" i="3"/>
  <c r="G8" i="3"/>
  <c r="I7" i="3"/>
  <c r="I6" i="3"/>
  <c r="G6" i="3"/>
  <c r="I5" i="3"/>
  <c r="G5" i="3"/>
  <c r="I4" i="3"/>
  <c r="G4" i="3"/>
  <c r="L3" i="3"/>
  <c r="I3" i="3"/>
  <c r="G3" i="3"/>
  <c r="I2" i="3"/>
  <c r="G2" i="3"/>
</calcChain>
</file>

<file path=xl/sharedStrings.xml><?xml version="1.0" encoding="utf-8"?>
<sst xmlns="http://schemas.openxmlformats.org/spreadsheetml/2006/main" count="828" uniqueCount="303">
  <si>
    <t>Nombre Sucursal</t>
  </si>
  <si>
    <t>Calle</t>
  </si>
  <si>
    <t>Cadena</t>
  </si>
  <si>
    <t>Latitud</t>
  </si>
  <si>
    <t>Longitud</t>
  </si>
  <si>
    <t>Vea</t>
  </si>
  <si>
    <t>Av. Aconquija 1799, T4107 San Miguel de Tucumán, Tucumán</t>
  </si>
  <si>
    <t>Cencosud</t>
  </si>
  <si>
    <t>Av. Manuel Belgrano &amp; Av. América, Av. América 901, T4000 San Miguel de Tucumán, Tucumán</t>
  </si>
  <si>
    <t>Av. Mate de Luna 2850, T4000 San Miguel de Tucumán, Tucumán</t>
  </si>
  <si>
    <t>Av. Sarmiento 750, T4000 San Miguel de Tucumán, Tucumán</t>
  </si>
  <si>
    <t>Av. Alem 264, T4000 San Miguel de Tucumán, Tucumán</t>
  </si>
  <si>
    <t>Barrio Sur, Av. Gral. Roca 759, T4000 San Miguel de Tucumán, Tucumán</t>
  </si>
  <si>
    <t>Av. Brígido Terán 250, T4000 San Miguel de Tucumán, Tucumán</t>
  </si>
  <si>
    <t>Av. Gdor. del Campo 1150, T4000 San Miguel de Tucumán, Tucumán</t>
  </si>
  <si>
    <t>Bernardino Rivadavia 36, T4146 Concepción, Tucumán</t>
  </si>
  <si>
    <t>, 65.59497161949972</t>
  </si>
  <si>
    <t>Rivadavia 740, T4158 Juan Bautista Alberdi, Tucumán</t>
  </si>
  <si>
    <t>Jumbo</t>
  </si>
  <si>
    <t>Fermín, Cariola 42, T4107 Yerba Buena, Tucumán</t>
  </si>
  <si>
    <t>Chango Mas</t>
  </si>
  <si>
    <t>Av. Ejército del Nte. 2324, T4001 San Miguel de Tucumán, Tucumán</t>
  </si>
  <si>
    <t>ChangoMas</t>
  </si>
  <si>
    <t>Av. Camino del Perú 950, T4242 San Miguel de Tucumán, Tucumán</t>
  </si>
  <si>
    <t>Guatemala y San Martín, T4109 Banda del Río Salí, Tucumán</t>
  </si>
  <si>
    <t>Av. Jujuy entre Democracia y P. Fernandez, T4000 San Miguel de Tucumán, Tucumán</t>
  </si>
  <si>
    <t>Hipermercado Libertad</t>
  </si>
  <si>
    <t>Av. Gral. Roca 3440, T4000 San Miguel de Tucumán, Tucumán</t>
  </si>
  <si>
    <t>La Anónima</t>
  </si>
  <si>
    <t>Emilio Castelar Batalla de Suipacha y, T4000 San Miguel de Tucumán, Tucumán</t>
  </si>
  <si>
    <t>Centro Comercial Gomez Pardo</t>
  </si>
  <si>
    <t>Av. Juan Domingo Perón 1900, T4107 Yerba Buena, Tucumán</t>
  </si>
  <si>
    <t>Megacentro de Compra Gomez Pardo</t>
  </si>
  <si>
    <t>T4002JAF, Batalla de Chacabuco 1122, T4002JAF San Miguel de Tucumán, Tucumán</t>
  </si>
  <si>
    <t>Av. Brígido Terán 700, T4000HPT San Miguel de Tucumán, Tucumán</t>
  </si>
  <si>
    <t>RP314, T4103 Tafí Viejo, Tucumán</t>
  </si>
  <si>
    <t>Diagonal, Raúl Lechesi, Tafí Viejo, Tucumán</t>
  </si>
  <si>
    <t>Easy</t>
  </si>
  <si>
    <t>Emilio Castelar 1250, T4001 San Miguel de Tucumán, Tucumán</t>
  </si>
  <si>
    <t>Comodin</t>
  </si>
  <si>
    <t>Av. Alem 1796, T4000 San Miguel de Tucumán, Tucumán</t>
  </si>
  <si>
    <t>Grupo Alberdi SA</t>
  </si>
  <si>
    <t>Av. Juan B. Justo 1154, T4000 San Miguel de Tucumán, Tucumán</t>
  </si>
  <si>
    <t>Av. Manuel Belgrano 3300, T4000 San Miguel de Tucumán, Tucumán</t>
  </si>
  <si>
    <t>Carrefour</t>
  </si>
  <si>
    <t>Av. Aconquija 1591, T4172 Yerba Buena, Tucumán</t>
  </si>
  <si>
    <t>Catamarca 1116, T4000 San Miguel de Tucumán, Tucumán</t>
  </si>
  <si>
    <t>Av. 24 de Septiembre 653, T4000CNM San Miguel de Tucumán, Tucumán</t>
  </si>
  <si>
    <t>Gral. José de San Martín 344, T4000 San Miguel de Tucumán, Tucumán</t>
  </si>
  <si>
    <t>Autoservicio Capo</t>
  </si>
  <si>
    <t>Avenida América 389, San Juan &amp;, San Miguel de Tucumán, Tucumán</t>
  </si>
  <si>
    <t>AUTOSERVICIO CAPO SA</t>
  </si>
  <si>
    <t>Delfin Gallo 1000, T4001 San Miguel de Tucumán, Tucumán</t>
  </si>
  <si>
    <t>Lamadrid 1579, T4000 San Miguel de Tucumán, Tucumán</t>
  </si>
  <si>
    <t>Aledo Supermercado</t>
  </si>
  <si>
    <t>Santiago 2800, T4000 San Miguel de Tucumán, Tucumán</t>
  </si>
  <si>
    <t>Supermercado Aledo SAS</t>
  </si>
  <si>
    <t>Av. Manuel Belgrano 1883, T4000 San Miguel de Tucumán, Tucumán</t>
  </si>
  <si>
    <t>Pcia de Corrientes 610, T4000 San Miguel de Tucumán, Tucumán</t>
  </si>
  <si>
    <t>UNT</t>
  </si>
  <si>
    <t>Batalla de Ayacucho 491, T4000 San Miguel de Tucumán, Tucumán</t>
  </si>
  <si>
    <t>Av. Independencia 1800, T4000 San Miguel de Tucumán, Tucumán</t>
  </si>
  <si>
    <t>Facultad de Derecho UNT</t>
  </si>
  <si>
    <t>25 de Mayo 471, T4000 San Miguel de Tucumán, Tucumán</t>
  </si>
  <si>
    <t>Facultad de Artes UNT</t>
  </si>
  <si>
    <t>Simón Bolívar, T4000 San Miguel de Tucumán, Tucumán</t>
  </si>
  <si>
    <t>Facultad de Educación Física</t>
  </si>
  <si>
    <t>Av. Benjamín Aráoz 751, T4000 San Miguel de Tucumán, Tucumán</t>
  </si>
  <si>
    <t>Instituto Miguel Lillo UNT</t>
  </si>
  <si>
    <t>Miguel Lillo 200-212, T4000 San Miguel de Tucumán, Tucumán</t>
  </si>
  <si>
    <t>Escuela Universitaria Cine, Video y Televisión</t>
  </si>
  <si>
    <t>Av. Aconquija 729, T4107 Yerba Buena, Tucumán</t>
  </si>
  <si>
    <t>Facultad de Medicina</t>
  </si>
  <si>
    <t>-</t>
  </si>
  <si>
    <t>Universidad Nacional de Tucumán - Usina del Centenario</t>
  </si>
  <si>
    <t>Av. Sarmiento 1100, T4000 San Miguel de Tucumán, Tucumán</t>
  </si>
  <si>
    <t>Instituto Técnico Universidad Nacional de Tucumán</t>
  </si>
  <si>
    <t>Gral. José María Paz 920 Sur, T4000 San Miguel de Tucumán, Tucumán</t>
  </si>
  <si>
    <t>UTN FRT</t>
  </si>
  <si>
    <t>JJD, Bernardino Rivadavia 1050, T4001 San Miguel de Tucumán, Tucumán</t>
  </si>
  <si>
    <t>UTN</t>
  </si>
  <si>
    <t>U.T.N. – F.R.T. [Extensión Áulica Concepción]</t>
  </si>
  <si>
    <t>T4146 Concepción, Tucumán</t>
  </si>
  <si>
    <t>UNSTA</t>
  </si>
  <si>
    <t>IHC, 9 de Julio 165, T4000IHC San Miguel de Tucumán, Tucumán</t>
  </si>
  <si>
    <t>Campus Universitario UNSTA</t>
  </si>
  <si>
    <t>Av. Juan Domingo Perón 2085, T4107 Yerba Buena, Tucumán</t>
  </si>
  <si>
    <t>Universidad de San Pablo-T</t>
  </si>
  <si>
    <t>Av. 24 de Septiembre 476, T4000 San Miguel de Tucumán, Tucumán</t>
  </si>
  <si>
    <t>USPT</t>
  </si>
  <si>
    <t>San Pablo Campus</t>
  </si>
  <si>
    <t>Lules, Tucumán</t>
  </si>
  <si>
    <t>Mercado Municipal - Tafí Viejo.</t>
  </si>
  <si>
    <t>Uttinger, Gral. José de San Martín y, T4103 Tafí Viejo, Tucumán</t>
  </si>
  <si>
    <t>Famaillá</t>
  </si>
  <si>
    <r>
      <rPr>
        <b/>
        <u/>
        <sz val="11"/>
        <color rgb="FF1155CC"/>
        <rFont val="&quot;Roboto Condensed&quot;, sans-serif"/>
      </rPr>
      <t>Nombre</t>
    </r>
  </si>
  <si>
    <r>
      <rPr>
        <b/>
        <u/>
        <sz val="11"/>
        <color rgb="FF1155CC"/>
        <rFont val="&quot;Roboto Condensed&quot;, sans-serif"/>
      </rPr>
      <t>Departamento</t>
    </r>
  </si>
  <si>
    <r>
      <rPr>
        <b/>
        <u/>
        <sz val="10"/>
        <color rgb="FF1155CC"/>
        <rFont val="&quot;Roboto Condensed&quot;, sans-serif"/>
      </rPr>
      <t>Población</t>
    </r>
    <r>
      <rPr>
        <b/>
        <sz val="10"/>
        <color theme="1"/>
        <rFont val="&quot;Roboto Condensed&quot;, sans-serif"/>
      </rPr>
      <t xml:space="preserve">
Censo
1991-05-15</t>
    </r>
  </si>
  <si>
    <r>
      <rPr>
        <b/>
        <u/>
        <sz val="10"/>
        <color rgb="FF1155CC"/>
        <rFont val="&quot;Roboto Condensed&quot;, sans-serif"/>
      </rPr>
      <t>Población</t>
    </r>
    <r>
      <rPr>
        <b/>
        <sz val="10"/>
        <color theme="1"/>
        <rFont val="&quot;Roboto Condensed&quot;, sans-serif"/>
      </rPr>
      <t xml:space="preserve">
Censo
2001-11-17</t>
    </r>
  </si>
  <si>
    <r>
      <rPr>
        <b/>
        <u/>
        <sz val="10"/>
        <color rgb="FF1155CC"/>
        <rFont val="&quot;Roboto Condensed&quot;, sans-serif"/>
      </rPr>
      <t>Población</t>
    </r>
    <r>
      <rPr>
        <b/>
        <sz val="10"/>
        <color theme="1"/>
        <rFont val="&quot;Roboto Condensed&quot;, sans-serif"/>
      </rPr>
      <t xml:space="preserve">
Censo
2010-10-27</t>
    </r>
  </si>
  <si>
    <r>
      <rPr>
        <b/>
        <u/>
        <sz val="10"/>
        <color rgb="FF1155CC"/>
        <rFont val="&quot;Roboto Condensed&quot;, sans-serif"/>
      </rPr>
      <t>Población</t>
    </r>
    <r>
      <rPr>
        <b/>
        <sz val="10"/>
        <color theme="1"/>
        <rFont val="&quot;Roboto Condensed&quot;, sans-serif"/>
      </rPr>
      <t xml:space="preserve">
Censo
2022-05-18</t>
    </r>
  </si>
  <si>
    <t>% CT año a año (1991-2022)</t>
  </si>
  <si>
    <t>Superficie en km²</t>
  </si>
  <si>
    <t>Densidad de población km²</t>
  </si>
  <si>
    <r>
      <rPr>
        <u/>
        <sz val="10"/>
        <color rgb="FF1155CC"/>
        <rFont val="&quot;Roboto Condensed&quot;, sans-serif"/>
      </rPr>
      <t>7 de Abril</t>
    </r>
    <r>
      <rPr>
        <sz val="10"/>
        <color theme="1"/>
        <rFont val="&quot;Roboto Condensed&quot;, sans-serif"/>
      </rPr>
      <t xml:space="preserve"> (Siete de Abril)</t>
    </r>
  </si>
  <si>
    <t>Burruyacú</t>
  </si>
  <si>
    <r>
      <rPr>
        <u/>
        <sz val="10"/>
        <color rgb="FF1155CC"/>
        <rFont val="&quot;Roboto Condensed&quot;, sans-serif"/>
      </rPr>
      <t>Acheral</t>
    </r>
  </si>
  <si>
    <t>Monteros</t>
  </si>
  <si>
    <r>
      <rPr>
        <u/>
        <sz val="10"/>
        <color rgb="FF1155CC"/>
        <rFont val="&quot;Roboto Condensed&quot;, sans-serif"/>
      </rPr>
      <t>Aguilares</t>
    </r>
  </si>
  <si>
    <t>Río Chico</t>
  </si>
  <si>
    <r>
      <rPr>
        <u/>
        <sz val="10"/>
        <color rgb="FF1155CC"/>
        <rFont val="&quot;Roboto Condensed&quot;, sans-serif"/>
      </rPr>
      <t>Alderetes</t>
    </r>
  </si>
  <si>
    <t>Cruz Alta</t>
  </si>
  <si>
    <r>
      <rPr>
        <u/>
        <sz val="10"/>
        <color rgb="FF1155CC"/>
        <rFont val="&quot;Roboto Condensed&quot;, sans-serif"/>
      </rPr>
      <t>Alpachiri</t>
    </r>
  </si>
  <si>
    <t>Chicligasta</t>
  </si>
  <si>
    <r>
      <rPr>
        <u/>
        <sz val="10"/>
        <color rgb="FF1155CC"/>
        <rFont val="&quot;Roboto Condensed&quot;, sans-serif"/>
      </rPr>
      <t>Alto de la Cocha</t>
    </r>
  </si>
  <si>
    <t>La Cocha</t>
  </si>
  <si>
    <t>...</t>
  </si>
  <si>
    <r>
      <rPr>
        <u/>
        <sz val="10"/>
        <color rgb="FF1155CC"/>
        <rFont val="&quot;Roboto Condensed&quot;, sans-serif"/>
      </rPr>
      <t>Alto Verde</t>
    </r>
  </si>
  <si>
    <r>
      <rPr>
        <u/>
        <sz val="10"/>
        <color rgb="FF1155CC"/>
        <rFont val="&quot;Roboto Condensed&quot;, sans-serif"/>
      </rPr>
      <t>Amaicha del Valle</t>
    </r>
  </si>
  <si>
    <t>Tafí del Valle</t>
  </si>
  <si>
    <r>
      <rPr>
        <u/>
        <sz val="10"/>
        <color rgb="FF1155CC"/>
        <rFont val="&quot;Roboto Condensed&quot;, sans-serif"/>
      </rPr>
      <t>Amberes</t>
    </r>
  </si>
  <si>
    <r>
      <rPr>
        <u/>
        <sz val="10"/>
        <color rgb="FF1155CC"/>
        <rFont val="&quot;Roboto Condensed&quot;, sans-serif"/>
      </rPr>
      <t>Ampimpa</t>
    </r>
  </si>
  <si>
    <r>
      <rPr>
        <u/>
        <sz val="10"/>
        <color rgb="FF1155CC"/>
        <rFont val="&quot;Roboto Condensed&quot;, sans-serif"/>
      </rPr>
      <t>Arcadia</t>
    </r>
    <r>
      <rPr>
        <sz val="10"/>
        <color theme="1"/>
        <rFont val="&quot;Roboto Condensed&quot;, sans-serif"/>
      </rPr>
      <t xml:space="preserve"> (incl. Barrio San Roque)</t>
    </r>
  </si>
  <si>
    <r>
      <rPr>
        <u/>
        <sz val="10"/>
        <color rgb="FF1155CC"/>
        <rFont val="&quot;Roboto Condensed&quot;, sans-serif"/>
      </rPr>
      <t>Atahona</t>
    </r>
  </si>
  <si>
    <t>Simoca</t>
  </si>
  <si>
    <r>
      <rPr>
        <u/>
        <sz val="10"/>
        <color rgb="FF1155CC"/>
        <rFont val="&quot;Roboto Condensed&quot;, sans-serif"/>
      </rPr>
      <t>Bajo Grande</t>
    </r>
  </si>
  <si>
    <r>
      <rPr>
        <u/>
        <sz val="10"/>
        <color rgb="FF1155CC"/>
        <rFont val="&quot;Roboto Condensed&quot;, sans-serif"/>
      </rPr>
      <t>Banda del Río Salí</t>
    </r>
  </si>
  <si>
    <r>
      <rPr>
        <u/>
        <sz val="10"/>
        <color rgb="FF1155CC"/>
        <rFont val="&quot;Roboto Condensed&quot;, sans-serif"/>
      </rPr>
      <t>Barrio Malvinas</t>
    </r>
  </si>
  <si>
    <r>
      <rPr>
        <u/>
        <sz val="10"/>
        <color rgb="FF1155CC"/>
        <rFont val="&quot;Roboto Condensed&quot;, sans-serif"/>
      </rPr>
      <t>Barrio San Felipe</t>
    </r>
  </si>
  <si>
    <t>Lules</t>
  </si>
  <si>
    <r>
      <rPr>
        <u/>
        <sz val="10"/>
        <color rgb="FF1155CC"/>
        <rFont val="&quot;Roboto Condensed&quot;, sans-serif"/>
      </rPr>
      <t>Barrio San Jorge</t>
    </r>
  </si>
  <si>
    <r>
      <rPr>
        <u/>
        <sz val="10"/>
        <color rgb="FF1155CC"/>
        <rFont val="&quot;Roboto Condensed&quot;, sans-serif"/>
      </rPr>
      <t>Barrio San Martín</t>
    </r>
  </si>
  <si>
    <r>
      <rPr>
        <u/>
        <sz val="10"/>
        <color rgb="FF1155CC"/>
        <rFont val="&quot;Roboto Condensed&quot;, sans-serif"/>
      </rPr>
      <t>Barrio Santa Emilia</t>
    </r>
  </si>
  <si>
    <r>
      <rPr>
        <u/>
        <sz val="10"/>
        <color rgb="FF1155CC"/>
        <rFont val="&quot;Roboto Condensed&quot;, sans-serif"/>
      </rPr>
      <t>Barrio Santa Rita</t>
    </r>
  </si>
  <si>
    <t>Tafí Viejo</t>
  </si>
  <si>
    <r>
      <rPr>
        <u/>
        <sz val="10"/>
        <color rgb="FF1155CC"/>
        <rFont val="&quot;Roboto Condensed&quot;, sans-serif"/>
      </rPr>
      <t>Bella Vista</t>
    </r>
  </si>
  <si>
    <t>Leales</t>
  </si>
  <si>
    <r>
      <rPr>
        <u/>
        <sz val="10"/>
        <color rgb="FF1155CC"/>
        <rFont val="&quot;Roboto Condensed&quot;, sans-serif"/>
      </rPr>
      <t>Benjamín Paz</t>
    </r>
  </si>
  <si>
    <t>Trancas</t>
  </si>
  <si>
    <r>
      <rPr>
        <u/>
        <sz val="10"/>
        <color rgb="FF1155CC"/>
        <rFont val="&quot;Roboto Condensed&quot;, sans-serif"/>
      </rPr>
      <t>Boca del Tigre</t>
    </r>
  </si>
  <si>
    <r>
      <rPr>
        <u/>
        <sz val="10"/>
        <color rgb="FF1155CC"/>
        <rFont val="&quot;Roboto Condensed&quot;, sans-serif"/>
      </rPr>
      <t>Boca del Tigre</t>
    </r>
  </si>
  <si>
    <r>
      <rPr>
        <u/>
        <sz val="10"/>
        <color rgb="FF1155CC"/>
        <rFont val="&quot;Roboto Condensed&quot;, sans-serif"/>
      </rPr>
      <t>Campo de Herrera</t>
    </r>
  </si>
  <si>
    <r>
      <rPr>
        <u/>
        <sz val="10"/>
        <color rgb="FF1155CC"/>
        <rFont val="&quot;Roboto Condensed&quot;, sans-serif"/>
      </rPr>
      <t>Capitán Cáceres</t>
    </r>
  </si>
  <si>
    <r>
      <rPr>
        <u/>
        <sz val="10"/>
        <color rgb="FF1155CC"/>
        <rFont val="&quot;Roboto Condensed&quot;, sans-serif"/>
      </rPr>
      <t>Cevil Redondo</t>
    </r>
    <r>
      <rPr>
        <sz val="10"/>
        <color theme="1"/>
        <rFont val="&quot;Roboto Condensed&quot;, sans-serif"/>
      </rPr>
      <t xml:space="preserve"> (Villa Carmela)</t>
    </r>
  </si>
  <si>
    <t>Yerba Buena</t>
  </si>
  <si>
    <r>
      <rPr>
        <u/>
        <sz val="10"/>
        <color rgb="FF1155CC"/>
        <rFont val="&quot;Roboto Condensed&quot;, sans-serif"/>
      </rPr>
      <t>Choromoro</t>
    </r>
  </si>
  <si>
    <r>
      <rPr>
        <u/>
        <sz val="10"/>
        <color rgb="FF1155CC"/>
        <rFont val="&quot;Roboto Condensed&quot;, sans-serif"/>
      </rPr>
      <t>Chuscha</t>
    </r>
  </si>
  <si>
    <r>
      <rPr>
        <u/>
        <sz val="10"/>
        <color rgb="FF1155CC"/>
        <rFont val="&quot;Roboto Condensed&quot;, sans-serif"/>
      </rPr>
      <t>Colalao del Valle</t>
    </r>
  </si>
  <si>
    <r>
      <rPr>
        <u/>
        <sz val="10"/>
        <color rgb="FF1155CC"/>
        <rFont val="&quot;Roboto Condensed&quot;, sans-serif"/>
      </rPr>
      <t>Colombres</t>
    </r>
  </si>
  <si>
    <r>
      <rPr>
        <u/>
        <sz val="10"/>
        <color rgb="FF1155CC"/>
        <rFont val="&quot;Roboto Condensed&quot;, sans-serif"/>
      </rPr>
      <t>Colonia 1</t>
    </r>
  </si>
  <si>
    <r>
      <rPr>
        <u/>
        <sz val="10"/>
        <color rgb="FF1155CC"/>
        <rFont val="&quot;Roboto Condensed&quot;, sans-serif"/>
      </rPr>
      <t>Colonia 6</t>
    </r>
  </si>
  <si>
    <r>
      <rPr>
        <u/>
        <sz val="10"/>
        <color rgb="FF1155CC"/>
        <rFont val="&quot;Roboto Condensed&quot;, sans-serif"/>
      </rPr>
      <t>Colonia 10</t>
    </r>
  </si>
  <si>
    <r>
      <rPr>
        <u/>
        <sz val="10"/>
        <color rgb="FF1155CC"/>
        <rFont val="&quot;Roboto Condensed&quot;, sans-serif"/>
      </rPr>
      <t>Colonia 14</t>
    </r>
  </si>
  <si>
    <r>
      <rPr>
        <u/>
        <sz val="10"/>
        <color rgb="FF1155CC"/>
        <rFont val="&quot;Roboto Condensed&quot;, sans-serif"/>
      </rPr>
      <t>Colonia 17</t>
    </r>
  </si>
  <si>
    <r>
      <rPr>
        <u/>
        <sz val="10"/>
        <color rgb="FF1155CC"/>
        <rFont val="&quot;Roboto Condensed&quot;, sans-serif"/>
      </rPr>
      <t>Colonia Mayo</t>
    </r>
    <r>
      <rPr>
        <sz val="10"/>
        <color theme="1"/>
        <rFont val="&quot;Roboto Condensed&quot;, sans-serif"/>
      </rPr>
      <t xml:space="preserve"> (- Barrio La Milagrosa)</t>
    </r>
  </si>
  <si>
    <r>
      <rPr>
        <u/>
        <sz val="10"/>
        <color rgb="FF1155CC"/>
        <rFont val="&quot;Roboto Condensed&quot;, sans-serif"/>
      </rPr>
      <t>Concepción</t>
    </r>
  </si>
  <si>
    <r>
      <rPr>
        <u/>
        <sz val="10"/>
        <color rgb="FF1155CC"/>
        <rFont val="&quot;Roboto Condensed&quot;, sans-serif"/>
      </rPr>
      <t>Cruce Río Colorado</t>
    </r>
  </si>
  <si>
    <r>
      <rPr>
        <u/>
        <sz val="10"/>
        <color rgb="FF1155CC"/>
        <rFont val="&quot;Roboto Condensed&quot;, sans-serif"/>
      </rPr>
      <t>Delfín Gallo</t>
    </r>
  </si>
  <si>
    <r>
      <rPr>
        <u/>
        <sz val="10"/>
        <color rgb="FF1155CC"/>
        <rFont val="&quot;Roboto Condensed&quot;, sans-serif"/>
      </rPr>
      <t>Domingo Millán</t>
    </r>
  </si>
  <si>
    <r>
      <rPr>
        <u/>
        <sz val="10"/>
        <color rgb="FF1155CC"/>
        <rFont val="&quot;Roboto Condensed&quot;, sans-serif"/>
      </rPr>
      <t>El Bracho</t>
    </r>
  </si>
  <si>
    <r>
      <rPr>
        <u/>
        <sz val="10"/>
        <color rgb="FF1155CC"/>
        <rFont val="&quot;Roboto Condensed&quot;, sans-serif"/>
      </rPr>
      <t>El Cadillal</t>
    </r>
  </si>
  <si>
    <r>
      <rPr>
        <u/>
        <sz val="10"/>
        <color rgb="FF1155CC"/>
        <rFont val="&quot;Roboto Condensed&quot;, sans-serif"/>
      </rPr>
      <t>El Cajón</t>
    </r>
  </si>
  <si>
    <r>
      <rPr>
        <u/>
        <sz val="10"/>
        <color rgb="FF1155CC"/>
        <rFont val="&quot;Roboto Condensed&quot;, sans-serif"/>
      </rPr>
      <t>El Cercado</t>
    </r>
  </si>
  <si>
    <r>
      <rPr>
        <u/>
        <sz val="10"/>
        <color rgb="FF1155CC"/>
        <rFont val="&quot;Roboto Condensed&quot;, sans-serif"/>
      </rPr>
      <t>El Cevilar</t>
    </r>
  </si>
  <si>
    <r>
      <rPr>
        <u/>
        <sz val="10"/>
        <color rgb="FF1155CC"/>
        <rFont val="&quot;Roboto Condensed&quot;, sans-serif"/>
      </rPr>
      <t>El Chañar</t>
    </r>
  </si>
  <si>
    <r>
      <rPr>
        <u/>
        <sz val="10"/>
        <color rgb="FF1155CC"/>
        <rFont val="&quot;Roboto Condensed&quot;, sans-serif"/>
      </rPr>
      <t>El Corralito</t>
    </r>
  </si>
  <si>
    <r>
      <rPr>
        <u/>
        <sz val="10"/>
        <color rgb="FF1155CC"/>
        <rFont val="&quot;Roboto Condensed&quot;, sans-serif"/>
      </rPr>
      <t>El Empalme</t>
    </r>
  </si>
  <si>
    <r>
      <rPr>
        <u/>
        <sz val="10"/>
        <color rgb="FF1155CC"/>
        <rFont val="&quot;Roboto Condensed&quot;, sans-serif"/>
      </rPr>
      <t>El Empalme</t>
    </r>
  </si>
  <si>
    <r>
      <rPr>
        <u/>
        <sz val="10"/>
        <color rgb="FF1155CC"/>
        <rFont val="&quot;Roboto Condensed&quot;, sans-serif"/>
      </rPr>
      <t>El Manantial</t>
    </r>
  </si>
  <si>
    <r>
      <rPr>
        <u/>
        <sz val="10"/>
        <color rgb="FF1155CC"/>
        <rFont val="&quot;Roboto Condensed&quot;, sans-serif"/>
      </rPr>
      <t>El Molino</t>
    </r>
  </si>
  <si>
    <r>
      <rPr>
        <u/>
        <sz val="10"/>
        <color rgb="FF1155CC"/>
        <rFont val="&quot;Roboto Condensed&quot;, sans-serif"/>
      </rPr>
      <t>El Mollar</t>
    </r>
  </si>
  <si>
    <r>
      <rPr>
        <u/>
        <sz val="10"/>
        <color rgb="FF1155CC"/>
        <rFont val="&quot;Roboto Condensed&quot;, sans-serif"/>
      </rPr>
      <t>El Naranjito</t>
    </r>
  </si>
  <si>
    <r>
      <rPr>
        <u/>
        <sz val="10"/>
        <color rgb="FF1155CC"/>
        <rFont val="&quot;Roboto Condensed&quot;, sans-serif"/>
      </rPr>
      <t>El Naranjo</t>
    </r>
  </si>
  <si>
    <r>
      <rPr>
        <u/>
        <sz val="10"/>
        <color rgb="FF1155CC"/>
        <rFont val="&quot;Roboto Condensed&quot;, sans-serif"/>
      </rPr>
      <t>El Polear</t>
    </r>
  </si>
  <si>
    <r>
      <rPr>
        <u/>
        <sz val="10"/>
        <color rgb="FF1155CC"/>
        <rFont val="&quot;Roboto Condensed&quot;, sans-serif"/>
      </rPr>
      <t>El Porvenir</t>
    </r>
  </si>
  <si>
    <r>
      <rPr>
        <u/>
        <sz val="10"/>
        <color rgb="FF1155CC"/>
        <rFont val="&quot;Roboto Condensed&quot;, sans-serif"/>
      </rPr>
      <t>El Puestito</t>
    </r>
  </si>
  <si>
    <r>
      <rPr>
        <u/>
        <sz val="10"/>
        <color rgb="FF1155CC"/>
        <rFont val="&quot;Roboto Condensed&quot;, sans-serif"/>
      </rPr>
      <t>El Rodeo</t>
    </r>
  </si>
  <si>
    <r>
      <rPr>
        <u/>
        <sz val="10"/>
        <color rgb="FF1155CC"/>
        <rFont val="&quot;Roboto Condensed&quot;, sans-serif"/>
      </rPr>
      <t>El Rodeo</t>
    </r>
  </si>
  <si>
    <r>
      <rPr>
        <u/>
        <sz val="10"/>
        <color rgb="FF1155CC"/>
        <rFont val="&quot;Roboto Condensed&quot;, sans-serif"/>
      </rPr>
      <t>El Sacrificio</t>
    </r>
  </si>
  <si>
    <r>
      <rPr>
        <u/>
        <sz val="10"/>
        <color rgb="FF1155CC"/>
        <rFont val="&quot;Roboto Condensed&quot;, sans-serif"/>
      </rPr>
      <t>El Siambón</t>
    </r>
  </si>
  <si>
    <r>
      <rPr>
        <u/>
        <sz val="10"/>
        <color rgb="FF1155CC"/>
        <rFont val="&quot;Roboto Condensed&quot;, sans-serif"/>
      </rPr>
      <t>El Timbó</t>
    </r>
  </si>
  <si>
    <r>
      <rPr>
        <u/>
        <sz val="10"/>
        <color rgb="FF1155CC"/>
        <rFont val="&quot;Roboto Condensed&quot;, sans-serif"/>
      </rPr>
      <t>Esquina</t>
    </r>
  </si>
  <si>
    <r>
      <rPr>
        <u/>
        <sz val="10"/>
        <color rgb="FF1155CC"/>
        <rFont val="&quot;Roboto Condensed&quot;, sans-serif"/>
      </rPr>
      <t>Estación Aráoz</t>
    </r>
  </si>
  <si>
    <r>
      <rPr>
        <u/>
        <sz val="10"/>
        <color rgb="FF1155CC"/>
        <rFont val="&quot;Roboto Condensed&quot;, sans-serif"/>
      </rPr>
      <t>Famaillá</t>
    </r>
    <r>
      <rPr>
        <sz val="10"/>
        <color theme="1"/>
        <rFont val="&quot;Roboto Condensed&quot;, sans-serif"/>
      </rPr>
      <t xml:space="preserve"> (incl. Barrio Casa Rosada)</t>
    </r>
  </si>
  <si>
    <r>
      <rPr>
        <u/>
        <sz val="10"/>
        <color rgb="FF1155CC"/>
        <rFont val="&quot;Roboto Condensed&quot;, sans-serif"/>
      </rPr>
      <t>Garmendia</t>
    </r>
  </si>
  <si>
    <r>
      <rPr>
        <u/>
        <sz val="10"/>
        <color rgb="FF1155CC"/>
        <rFont val="&quot;Roboto Condensed&quot;, sans-serif"/>
      </rPr>
      <t>Gastona Norte</t>
    </r>
  </si>
  <si>
    <r>
      <rPr>
        <u/>
        <sz val="10"/>
        <color rgb="FF1155CC"/>
        <rFont val="&quot;Roboto Condensed&quot;, sans-serif"/>
      </rPr>
      <t>Gastona Sud</t>
    </r>
  </si>
  <si>
    <r>
      <rPr>
        <u/>
        <sz val="10"/>
        <color rgb="FF1155CC"/>
        <rFont val="&quot;Roboto Condensed&quot;, sans-serif"/>
      </rPr>
      <t>Gastonilla</t>
    </r>
  </si>
  <si>
    <r>
      <rPr>
        <u/>
        <sz val="10"/>
        <color rgb="FF1155CC"/>
        <rFont val="&quot;Roboto Condensed&quot;, sans-serif"/>
      </rPr>
      <t>Gobernador Piedrabuena</t>
    </r>
    <r>
      <rPr>
        <sz val="10"/>
        <color theme="1"/>
        <rFont val="&quot;Roboto Condensed&quot;, sans-serif"/>
      </rPr>
      <t xml:space="preserve"> (Piedrabuena)</t>
    </r>
  </si>
  <si>
    <r>
      <rPr>
        <u/>
        <sz val="10"/>
        <color rgb="FF1155CC"/>
        <rFont val="&quot;Roboto Condensed&quot;, sans-serif"/>
      </rPr>
      <t>Graneros</t>
    </r>
  </si>
  <si>
    <t>Graneros</t>
  </si>
  <si>
    <r>
      <rPr>
        <u/>
        <sz val="10"/>
        <color rgb="FF1155CC"/>
        <rFont val="&quot;Roboto Condensed&quot;, sans-serif"/>
      </rPr>
      <t>Huasa Pampa Norte</t>
    </r>
  </si>
  <si>
    <r>
      <rPr>
        <u/>
        <sz val="10"/>
        <color rgb="FF1155CC"/>
        <rFont val="&quot;Roboto Condensed&quot;, sans-serif"/>
      </rPr>
      <t>Huasa Pampa Sur</t>
    </r>
  </si>
  <si>
    <r>
      <rPr>
        <u/>
        <sz val="10"/>
        <color rgb="FF1155CC"/>
        <rFont val="&quot;Roboto Condensed&quot;, sans-serif"/>
      </rPr>
      <t>Iltico</t>
    </r>
  </si>
  <si>
    <r>
      <rPr>
        <u/>
        <sz val="10"/>
        <color rgb="FF1155CC"/>
        <rFont val="&quot;Roboto Condensed&quot;, sans-serif"/>
      </rPr>
      <t>Ingenio Fronterita</t>
    </r>
  </si>
  <si>
    <r>
      <rPr>
        <u/>
        <sz val="10"/>
        <color rgb="FF1155CC"/>
        <rFont val="&quot;Roboto Condensed&quot;, sans-serif"/>
      </rPr>
      <t>Juan Bautista Alberdi</t>
    </r>
  </si>
  <si>
    <t>Juan Bautista Alberdi</t>
  </si>
  <si>
    <t>20,.29</t>
  </si>
  <si>
    <r>
      <rPr>
        <u/>
        <sz val="10"/>
        <color rgb="FF1155CC"/>
        <rFont val="&quot;Roboto Condensed&quot;, sans-serif"/>
      </rPr>
      <t>La Angostura</t>
    </r>
  </si>
  <si>
    <r>
      <rPr>
        <u/>
        <sz val="10"/>
        <color rgb="FF1155CC"/>
        <rFont val="&quot;Roboto Condensed&quot;, sans-serif"/>
      </rPr>
      <t>La Cañada</t>
    </r>
  </si>
  <si>
    <r>
      <rPr>
        <u/>
        <sz val="10"/>
        <color rgb="FF1155CC"/>
        <rFont val="&quot;Roboto Condensed&quot;, sans-serif"/>
      </rPr>
      <t>La Cañada</t>
    </r>
  </si>
  <si>
    <r>
      <rPr>
        <u/>
        <sz val="10"/>
        <color rgb="FF1155CC"/>
        <rFont val="&quot;Roboto Condensed&quot;, sans-serif"/>
      </rPr>
      <t>La Cocha</t>
    </r>
  </si>
  <si>
    <r>
      <rPr>
        <u/>
        <sz val="10"/>
        <color rgb="FF1155CC"/>
        <rFont val="&quot;Roboto Condensed&quot;, sans-serif"/>
      </rPr>
      <t>La Costa</t>
    </r>
  </si>
  <si>
    <r>
      <rPr>
        <u/>
        <sz val="10"/>
        <color rgb="FF1155CC"/>
        <rFont val="&quot;Roboto Condensed&quot;, sans-serif"/>
      </rPr>
      <t>La Cruz</t>
    </r>
  </si>
  <si>
    <r>
      <rPr>
        <u/>
        <sz val="10"/>
        <color rgb="FF1155CC"/>
        <rFont val="&quot;Roboto Condensed&quot;, sans-serif"/>
      </rPr>
      <t>La Esperanza</t>
    </r>
  </si>
  <si>
    <r>
      <rPr>
        <u/>
        <sz val="10"/>
        <color rgb="FF1155CC"/>
        <rFont val="&quot;Roboto Condensed&quot;, sans-serif"/>
      </rPr>
      <t>La Florida</t>
    </r>
  </si>
  <si>
    <r>
      <rPr>
        <u/>
        <sz val="10"/>
        <color rgb="FF1155CC"/>
        <rFont val="&quot;Roboto Condensed&quot;, sans-serif"/>
      </rPr>
      <t>Lamadrid</t>
    </r>
  </si>
  <si>
    <r>
      <rPr>
        <u/>
        <sz val="10"/>
        <color rgb="FF1155CC"/>
        <rFont val="&quot;Roboto Condensed&quot;, sans-serif"/>
      </rPr>
      <t>La Ramada</t>
    </r>
  </si>
  <si>
    <r>
      <rPr>
        <u/>
        <sz val="10"/>
        <color rgb="FF1155CC"/>
        <rFont val="&quot;Roboto Condensed&quot;, sans-serif"/>
      </rPr>
      <t>La Ramada de Abajo</t>
    </r>
  </si>
  <si>
    <r>
      <rPr>
        <u/>
        <sz val="10"/>
        <color rgb="FF1155CC"/>
        <rFont val="&quot;Roboto Condensed&quot;, sans-serif"/>
      </rPr>
      <t>La Reducción</t>
    </r>
  </si>
  <si>
    <r>
      <rPr>
        <u/>
        <sz val="10"/>
        <color rgb="FF1155CC"/>
        <rFont val="&quot;Roboto Condensed&quot;, sans-serif"/>
      </rPr>
      <t>La Salina</t>
    </r>
  </si>
  <si>
    <r>
      <rPr>
        <u/>
        <sz val="10"/>
        <color rgb="FF1155CC"/>
        <rFont val="&quot;Roboto Condensed&quot;, sans-serif"/>
      </rPr>
      <t>Las Carreras</t>
    </r>
  </si>
  <si>
    <r>
      <rPr>
        <u/>
        <sz val="10"/>
        <color rgb="FF1155CC"/>
        <rFont val="&quot;Roboto Condensed&quot;, sans-serif"/>
      </rPr>
      <t>Las Cejas</t>
    </r>
  </si>
  <si>
    <r>
      <rPr>
        <u/>
        <sz val="10"/>
        <color rgb="FF1155CC"/>
        <rFont val="&quot;Roboto Condensed&quot;, sans-serif"/>
      </rPr>
      <t>Las Piedritas</t>
    </r>
  </si>
  <si>
    <r>
      <rPr>
        <u/>
        <sz val="10"/>
        <color rgb="FF1155CC"/>
        <rFont val="&quot;Roboto Condensed&quot;, sans-serif"/>
      </rPr>
      <t>Las Siringuillas</t>
    </r>
  </si>
  <si>
    <r>
      <rPr>
        <u/>
        <sz val="10"/>
        <color rgb="FF1155CC"/>
        <rFont val="&quot;Roboto Condensed&quot;, sans-serif"/>
      </rPr>
      <t>Las Talas</t>
    </r>
  </si>
  <si>
    <r>
      <rPr>
        <u/>
        <sz val="10"/>
        <color rgb="FF1155CC"/>
        <rFont val="&quot;Roboto Condensed&quot;, sans-serif"/>
      </rPr>
      <t>Las Talitas</t>
    </r>
    <r>
      <rPr>
        <sz val="10"/>
        <color theme="1"/>
        <rFont val="&quot;Roboto Condensed&quot;, sans-serif"/>
      </rPr>
      <t xml:space="preserve"> (Villa Mariano Moreno - El Colmenar)</t>
    </r>
  </si>
  <si>
    <r>
      <rPr>
        <u/>
        <sz val="10"/>
        <color rgb="FF1155CC"/>
        <rFont val="&quot;Roboto Condensed&quot;, sans-serif"/>
      </rPr>
      <t>La Tipa</t>
    </r>
  </si>
  <si>
    <r>
      <rPr>
        <u/>
        <sz val="10"/>
        <color rgb="FF1155CC"/>
        <rFont val="&quot;Roboto Condensed&quot;, sans-serif"/>
      </rPr>
      <t>La Trinidad</t>
    </r>
  </si>
  <si>
    <r>
      <rPr>
        <u/>
        <sz val="10"/>
        <color rgb="FF1155CC"/>
        <rFont val="&quot;Roboto Condensed&quot;, sans-serif"/>
      </rPr>
      <t>La Tuquita</t>
    </r>
  </si>
  <si>
    <r>
      <rPr>
        <u/>
        <sz val="10"/>
        <color rgb="FF1155CC"/>
        <rFont val="&quot;Roboto Condensed&quot;, sans-serif"/>
      </rPr>
      <t>Los Aguirre</t>
    </r>
  </si>
  <si>
    <r>
      <rPr>
        <u/>
        <sz val="10"/>
        <color rgb="FF1155CC"/>
        <rFont val="&quot;Roboto Condensed&quot;, sans-serif"/>
      </rPr>
      <t>Los Bulacio</t>
    </r>
  </si>
  <si>
    <r>
      <rPr>
        <u/>
        <sz val="10"/>
        <color rgb="FF1155CC"/>
        <rFont val="&quot;Roboto Condensed&quot;, sans-serif"/>
      </rPr>
      <t>Los Costilla</t>
    </r>
  </si>
  <si>
    <r>
      <rPr>
        <u/>
        <sz val="10"/>
        <color rgb="FF1155CC"/>
        <rFont val="&quot;Roboto Condensed&quot;, sans-serif"/>
      </rPr>
      <t>Los Gómez</t>
    </r>
  </si>
  <si>
    <r>
      <rPr>
        <u/>
        <sz val="10"/>
        <color rgb="FF1155CC"/>
        <rFont val="&quot;Roboto Condensed&quot;, sans-serif"/>
      </rPr>
      <t>Los Guchea</t>
    </r>
  </si>
  <si>
    <r>
      <rPr>
        <u/>
        <sz val="10"/>
        <color rgb="FF1155CC"/>
        <rFont val="&quot;Roboto Condensed&quot;, sans-serif"/>
      </rPr>
      <t>Los Laureles Sur</t>
    </r>
  </si>
  <si>
    <r>
      <rPr>
        <u/>
        <sz val="10"/>
        <color rgb="FF1155CC"/>
        <rFont val="&quot;Roboto Condensed&quot;, sans-serif"/>
      </rPr>
      <t>Los Nogales</t>
    </r>
    <r>
      <rPr>
        <sz val="10"/>
        <color theme="1"/>
        <rFont val="&quot;Roboto Condensed&quot;, sans-serif"/>
      </rPr>
      <t xml:space="preserve"> (incl. Barrio Mutual San Martín, Barrio El Cruce)</t>
    </r>
  </si>
  <si>
    <r>
      <rPr>
        <u/>
        <sz val="10"/>
        <color rgb="FF1155CC"/>
        <rFont val="&quot;Roboto Condensed&quot;, sans-serif"/>
      </rPr>
      <t>Los Pereyra</t>
    </r>
  </si>
  <si>
    <r>
      <rPr>
        <u/>
        <sz val="10"/>
        <color rgb="FF1155CC"/>
        <rFont val="&quot;Roboto Condensed&quot;, sans-serif"/>
      </rPr>
      <t>Los Pizarros</t>
    </r>
  </si>
  <si>
    <r>
      <rPr>
        <u/>
        <sz val="10"/>
        <color rgb="FF1155CC"/>
        <rFont val="&quot;Roboto Condensed&quot;, sans-serif"/>
      </rPr>
      <t>Los Puestos</t>
    </r>
  </si>
  <si>
    <r>
      <rPr>
        <u/>
        <sz val="10"/>
        <color rgb="FF1155CC"/>
        <rFont val="&quot;Roboto Condensed&quot;, sans-serif"/>
      </rPr>
      <t>Los Ralos</t>
    </r>
  </si>
  <si>
    <r>
      <rPr>
        <u/>
        <sz val="10"/>
        <color rgb="FF1155CC"/>
        <rFont val="&quot;Roboto Condensed&quot;, sans-serif"/>
      </rPr>
      <t>Los Romano</t>
    </r>
  </si>
  <si>
    <r>
      <rPr>
        <u/>
        <sz val="10"/>
        <color rgb="FF1155CC"/>
        <rFont val="&quot;Roboto Condensed&quot;, sans-serif"/>
      </rPr>
      <t>Los Sarmiento</t>
    </r>
  </si>
  <si>
    <r>
      <rPr>
        <u/>
        <sz val="10"/>
        <color rgb="FF1155CC"/>
        <rFont val="&quot;Roboto Condensed&quot;, sans-serif"/>
      </rPr>
      <t>Los Sosa</t>
    </r>
  </si>
  <si>
    <r>
      <rPr>
        <u/>
        <sz val="10"/>
        <color rgb="FF1155CC"/>
        <rFont val="&quot;Roboto Condensed&quot;, sans-serif"/>
      </rPr>
      <t>Los Sueldos</t>
    </r>
  </si>
  <si>
    <r>
      <rPr>
        <u/>
        <sz val="10"/>
        <color rgb="FF1155CC"/>
        <rFont val="&quot;Roboto Condensed&quot;, sans-serif"/>
      </rPr>
      <t>Los Villagra</t>
    </r>
  </si>
  <si>
    <r>
      <rPr>
        <u/>
        <sz val="10"/>
        <color rgb="FF1155CC"/>
        <rFont val="&quot;Roboto Condensed&quot;, sans-serif"/>
      </rPr>
      <t>Los Zazos</t>
    </r>
  </si>
  <si>
    <r>
      <rPr>
        <u/>
        <sz val="10"/>
        <color rgb="FF1155CC"/>
        <rFont val="&quot;Roboto Condensed&quot;, sans-serif"/>
      </rPr>
      <t>Macomitas</t>
    </r>
  </si>
  <si>
    <r>
      <rPr>
        <u/>
        <sz val="10"/>
        <color rgb="FF1155CC"/>
        <rFont val="&quot;Roboto Condensed&quot;, sans-serif"/>
      </rPr>
      <t>Mancopa</t>
    </r>
  </si>
  <si>
    <r>
      <rPr>
        <u/>
        <sz val="10"/>
        <color rgb="FF1155CC"/>
        <rFont val="&quot;Roboto Condensed&quot;, sans-serif"/>
      </rPr>
      <t>Manuela Pedraza</t>
    </r>
  </si>
  <si>
    <r>
      <rPr>
        <u/>
        <sz val="10"/>
        <color rgb="FF1155CC"/>
        <rFont val="&quot;Roboto Condensed&quot;, sans-serif"/>
      </rPr>
      <t>Manuel García Fernández</t>
    </r>
  </si>
  <si>
    <r>
      <rPr>
        <u/>
        <sz val="10"/>
        <color rgb="FF1155CC"/>
        <rFont val="&quot;Roboto Condensed&quot;, sans-serif"/>
      </rPr>
      <t>Medina</t>
    </r>
    <r>
      <rPr>
        <sz val="10"/>
        <color theme="1"/>
        <rFont val="&quot;Roboto Condensed&quot;, sans-serif"/>
      </rPr>
      <t xml:space="preserve"> (Villa de Medinas)</t>
    </r>
  </si>
  <si>
    <r>
      <rPr>
        <u/>
        <sz val="10"/>
        <color rgb="FF1155CC"/>
        <rFont val="&quot;Roboto Condensed&quot;, sans-serif"/>
      </rPr>
      <t>Monteagudo</t>
    </r>
  </si>
  <si>
    <r>
      <rPr>
        <u/>
        <sz val="10"/>
        <color rgb="FF1155CC"/>
        <rFont val="&quot;Roboto Condensed&quot;, sans-serif"/>
      </rPr>
      <t>Monte Bello</t>
    </r>
  </si>
  <si>
    <r>
      <rPr>
        <u/>
        <sz val="10"/>
        <color rgb="FF1155CC"/>
        <rFont val="&quot;Roboto Condensed&quot;, sans-serif"/>
      </rPr>
      <t>Monteros</t>
    </r>
  </si>
  <si>
    <r>
      <rPr>
        <u/>
        <sz val="10"/>
        <color rgb="FF1155CC"/>
        <rFont val="&quot;Roboto Condensed&quot;, sans-serif"/>
      </rPr>
      <t>Nueva Trinidad</t>
    </r>
  </si>
  <si>
    <r>
      <rPr>
        <u/>
        <sz val="10"/>
        <color rgb="FF1155CC"/>
        <rFont val="&quot;Roboto Condensed&quot;, sans-serif"/>
      </rPr>
      <t>Pacará</t>
    </r>
  </si>
  <si>
    <r>
      <rPr>
        <u/>
        <sz val="10"/>
        <color rgb="FF1155CC"/>
        <rFont val="&quot;Roboto Condensed&quot;, sans-serif"/>
      </rPr>
      <t>Padilla</t>
    </r>
  </si>
  <si>
    <r>
      <rPr>
        <u/>
        <sz val="10"/>
        <color rgb="FF1155CC"/>
        <rFont val="&quot;Roboto Condensed&quot;, sans-serif"/>
      </rPr>
      <t>Paso de las Lanzas</t>
    </r>
  </si>
  <si>
    <r>
      <rPr>
        <u/>
        <sz val="10"/>
        <color rgb="FF1155CC"/>
        <rFont val="&quot;Roboto Condensed&quot;, sans-serif"/>
      </rPr>
      <t>Pueblo Independencia</t>
    </r>
    <r>
      <rPr>
        <sz val="10"/>
        <color theme="1"/>
        <rFont val="&quot;Roboto Condensed&quot;, sans-serif"/>
      </rPr>
      <t xml:space="preserve"> (Santa Rosa y Los Rojo)</t>
    </r>
  </si>
  <si>
    <r>
      <rPr>
        <u/>
        <sz val="10"/>
        <color rgb="FF1155CC"/>
        <rFont val="&quot;Roboto Condensed&quot;, sans-serif"/>
      </rPr>
      <t>Raco</t>
    </r>
  </si>
  <si>
    <r>
      <rPr>
        <u/>
        <sz val="10"/>
        <color rgb="FF1155CC"/>
        <rFont val="&quot;Roboto Condensed&quot;, sans-serif"/>
      </rPr>
      <t>Ranchillos</t>
    </r>
  </si>
  <si>
    <r>
      <rPr>
        <u/>
        <sz val="10"/>
        <color rgb="FF1155CC"/>
        <rFont val="&quot;Roboto Condensed&quot;, sans-serif"/>
      </rPr>
      <t>Río Chico</t>
    </r>
  </si>
  <si>
    <r>
      <rPr>
        <u/>
        <sz val="10"/>
        <color rgb="FF1155CC"/>
        <rFont val="&quot;Roboto Condensed&quot;, sans-serif"/>
      </rPr>
      <t>Río Colorado</t>
    </r>
  </si>
  <si>
    <r>
      <rPr>
        <u/>
        <sz val="10"/>
        <color rgb="FF1155CC"/>
        <rFont val="&quot;Roboto Condensed&quot;, sans-serif"/>
      </rPr>
      <t>Río Nío</t>
    </r>
  </si>
  <si>
    <r>
      <rPr>
        <u/>
        <sz val="10"/>
        <color rgb="FF1155CC"/>
        <rFont val="&quot;Roboto Condensed&quot;, sans-serif"/>
      </rPr>
      <t>Río Seco</t>
    </r>
  </si>
  <si>
    <r>
      <rPr>
        <u/>
        <sz val="10"/>
        <color rgb="FF1155CC"/>
        <rFont val="&quot;Roboto Condensed&quot;, sans-serif"/>
      </rPr>
      <t>Rumi Punco</t>
    </r>
  </si>
  <si>
    <r>
      <rPr>
        <u/>
        <sz val="10"/>
        <color rgb="FF1155CC"/>
        <rFont val="&quot;Roboto Condensed&quot;, sans-serif"/>
      </rPr>
      <t>San Andrés</t>
    </r>
  </si>
  <si>
    <r>
      <rPr>
        <u/>
        <sz val="10"/>
        <color rgb="FF1155CC"/>
        <rFont val="&quot;Roboto Condensed&quot;, sans-serif"/>
      </rPr>
      <t>San Gabriel</t>
    </r>
  </si>
  <si>
    <r>
      <rPr>
        <u/>
        <sz val="10"/>
        <color rgb="FF1155CC"/>
        <rFont val="&quot;Roboto Condensed&quot;, sans-serif"/>
      </rPr>
      <t>San Isidro de Lules</t>
    </r>
    <r>
      <rPr>
        <sz val="10"/>
        <color theme="1"/>
        <rFont val="&quot;Roboto Condensed&quot;, sans-serif"/>
      </rPr>
      <t xml:space="preserve"> (Lules)</t>
    </r>
  </si>
  <si>
    <r>
      <rPr>
        <u/>
        <sz val="10"/>
        <color rgb="FF1155CC"/>
        <rFont val="&quot;Roboto Condensed&quot;, sans-serif"/>
      </rPr>
      <t>San Javier</t>
    </r>
  </si>
  <si>
    <r>
      <rPr>
        <u/>
        <sz val="10"/>
        <color rgb="FF1155CC"/>
        <rFont val="&quot;Roboto Condensed&quot;, sans-serif"/>
      </rPr>
      <t>San José de Buena Vista</t>
    </r>
  </si>
  <si>
    <r>
      <rPr>
        <u/>
        <sz val="10"/>
        <color rgb="FF1155CC"/>
        <rFont val="&quot;Roboto Condensed&quot;, sans-serif"/>
      </rPr>
      <t>San José de La Cocha</t>
    </r>
  </si>
  <si>
    <r>
      <rPr>
        <u/>
        <sz val="10"/>
        <color rgb="FF1155CC"/>
        <rFont val="&quot;Roboto Condensed&quot;, sans-serif"/>
      </rPr>
      <t>San Miguel de Tucumán</t>
    </r>
    <r>
      <rPr>
        <sz val="10"/>
        <color theme="1"/>
        <rFont val="&quot;Roboto Condensed&quot;, sans-serif"/>
      </rPr>
      <t xml:space="preserve"> (Est. Tucumán)</t>
    </r>
  </si>
  <si>
    <t>Capital</t>
  </si>
  <si>
    <r>
      <rPr>
        <u/>
        <sz val="10"/>
        <color rgb="FF1155CC"/>
        <rFont val="&quot;Roboto Condensed&quot;, sans-serif"/>
      </rPr>
      <t>San Pablo</t>
    </r>
    <r>
      <rPr>
        <sz val="10"/>
        <color theme="1"/>
        <rFont val="&quot;Roboto Condensed&quot;, sans-serif"/>
      </rPr>
      <t xml:space="preserve"> (Ingenio San Pablo)</t>
    </r>
  </si>
  <si>
    <r>
      <rPr>
        <u/>
        <sz val="10"/>
        <color rgb="FF1155CC"/>
        <rFont val="&quot;Roboto Condensed&quot;, sans-serif"/>
      </rPr>
      <t>San Pedro de Colalao</t>
    </r>
  </si>
  <si>
    <r>
      <rPr>
        <u/>
        <sz val="10"/>
        <color rgb="FF1155CC"/>
        <rFont val="&quot;Roboto Condensed&quot;, sans-serif"/>
      </rPr>
      <t>San Pedro Mártir</t>
    </r>
  </si>
  <si>
    <r>
      <rPr>
        <u/>
        <sz val="10"/>
        <color rgb="FF1155CC"/>
        <rFont val="&quot;Roboto Condensed&quot;, sans-serif"/>
      </rPr>
      <t>San Ramón</t>
    </r>
  </si>
  <si>
    <r>
      <rPr>
        <u/>
        <sz val="10"/>
        <color rgb="FF1155CC"/>
        <rFont val="&quot;Roboto Condensed&quot;, sans-serif"/>
      </rPr>
      <t>Santa Ana</t>
    </r>
  </si>
  <si>
    <r>
      <rPr>
        <u/>
        <sz val="10"/>
        <color rgb="FF1155CC"/>
        <rFont val="&quot;Roboto Condensed&quot;, sans-serif"/>
      </rPr>
      <t>Santa Cruz</t>
    </r>
  </si>
  <si>
    <r>
      <rPr>
        <u/>
        <sz val="10"/>
        <color rgb="FF1155CC"/>
        <rFont val="&quot;Roboto Condensed&quot;, sans-serif"/>
      </rPr>
      <t>Santa Lucía</t>
    </r>
  </si>
  <si>
    <r>
      <rPr>
        <u/>
        <sz val="10"/>
        <color rgb="FF1155CC"/>
        <rFont val="&quot;Roboto Condensed&quot;, sans-serif"/>
      </rPr>
      <t>Santa Rosa de Leales</t>
    </r>
  </si>
  <si>
    <r>
      <rPr>
        <u/>
        <sz val="10"/>
        <color rgb="FF1155CC"/>
        <rFont val="&quot;Roboto Condensed&quot;, sans-serif"/>
      </rPr>
      <t>Sargento Moya</t>
    </r>
  </si>
  <si>
    <r>
      <rPr>
        <u/>
        <sz val="10"/>
        <color rgb="FF1155CC"/>
        <rFont val="&quot;Roboto Condensed&quot;, sans-serif"/>
      </rPr>
      <t>Simoca</t>
    </r>
  </si>
  <si>
    <r>
      <rPr>
        <u/>
        <sz val="10"/>
        <color rgb="FF1155CC"/>
        <rFont val="&quot;Roboto Condensed&quot;, sans-serif"/>
      </rPr>
      <t>Soldado Maldonado</t>
    </r>
  </si>
  <si>
    <r>
      <rPr>
        <u/>
        <sz val="10"/>
        <color rgb="FF1155CC"/>
        <rFont val="&quot;Roboto Condensed&quot;, sans-serif"/>
      </rPr>
      <t>Tacanas</t>
    </r>
  </si>
  <si>
    <r>
      <rPr>
        <u/>
        <sz val="10"/>
        <color rgb="FF1155CC"/>
        <rFont val="&quot;Roboto Condensed&quot;, sans-serif"/>
      </rPr>
      <t>Taco Ralo</t>
    </r>
  </si>
  <si>
    <r>
      <rPr>
        <u/>
        <sz val="10"/>
        <color rgb="FF1155CC"/>
        <rFont val="&quot;Roboto Condensed&quot;, sans-serif"/>
      </rPr>
      <t>Tafí del Valle</t>
    </r>
  </si>
  <si>
    <r>
      <rPr>
        <u/>
        <sz val="10"/>
        <color rgb="FF1155CC"/>
        <rFont val="&quot;Roboto Condensed&quot;, sans-serif"/>
      </rPr>
      <t>Tafí Viejo</t>
    </r>
    <r>
      <rPr>
        <sz val="10"/>
        <color theme="1"/>
        <rFont val="&quot;Roboto Condensed&quot;, sans-serif"/>
      </rPr>
      <t xml:space="preserve"> (incl. Diagonal Norte, Barrio Lomas de Tafí, Barrio Parada 14, Barrio U.T.A. II, Villa Las Flores)</t>
    </r>
  </si>
  <si>
    <r>
      <rPr>
        <u/>
        <sz val="10"/>
        <color rgb="FF1155CC"/>
        <rFont val="&quot;Roboto Condensed&quot;, sans-serif"/>
      </rPr>
      <t>Tapia</t>
    </r>
  </si>
  <si>
    <r>
      <rPr>
        <u/>
        <sz val="10"/>
        <color rgb="FF1155CC"/>
        <rFont val="&quot;Roboto Condensed&quot;, sans-serif"/>
      </rPr>
      <t>Taruca Pampa</t>
    </r>
  </si>
  <si>
    <r>
      <rPr>
        <u/>
        <sz val="10"/>
        <color rgb="FF1155CC"/>
        <rFont val="&quot;Roboto Condensed&quot;, sans-serif"/>
      </rPr>
      <t>Teniente Berdina</t>
    </r>
  </si>
  <si>
    <r>
      <rPr>
        <u/>
        <sz val="10"/>
        <color rgb="FF1155CC"/>
        <rFont val="&quot;Roboto Condensed&quot;, sans-serif"/>
      </rPr>
      <t>Timbó Nuevo</t>
    </r>
  </si>
  <si>
    <r>
      <rPr>
        <u/>
        <sz val="10"/>
        <color rgb="FF1155CC"/>
        <rFont val="&quot;Roboto Condensed&quot;, sans-serif"/>
      </rPr>
      <t>Timbó Viejo</t>
    </r>
  </si>
  <si>
    <r>
      <rPr>
        <u/>
        <sz val="10"/>
        <color rgb="FF1155CC"/>
        <rFont val="&quot;Roboto Condensed&quot;, sans-serif"/>
      </rPr>
      <t>Villa Belgrano</t>
    </r>
  </si>
  <si>
    <r>
      <rPr>
        <u/>
        <sz val="10"/>
        <color rgb="FF1155CC"/>
        <rFont val="&quot;Roboto Condensed&quot;, sans-serif"/>
      </rPr>
      <t>Villa Benjamín Aráoz</t>
    </r>
  </si>
  <si>
    <r>
      <rPr>
        <u/>
        <sz val="10"/>
        <color rgb="FF1155CC"/>
        <rFont val="&quot;Roboto Condensed&quot;, sans-serif"/>
      </rPr>
      <t>Villa Burruyacú</t>
    </r>
  </si>
  <si>
    <r>
      <rPr>
        <u/>
        <sz val="10"/>
        <color rgb="FF1155CC"/>
        <rFont val="&quot;Roboto Condensed&quot;, sans-serif"/>
      </rPr>
      <t>Villa Chicligasta</t>
    </r>
  </si>
  <si>
    <r>
      <rPr>
        <u/>
        <sz val="10"/>
        <color rgb="FF1155CC"/>
        <rFont val="&quot;Roboto Condensed&quot;, sans-serif"/>
      </rPr>
      <t>Villa Clodomiro Hileret</t>
    </r>
  </si>
  <si>
    <r>
      <rPr>
        <u/>
        <sz val="10"/>
        <color rgb="FF1155CC"/>
        <rFont val="&quot;Roboto Condensed&quot;, sans-serif"/>
      </rPr>
      <t>Villa de Leales</t>
    </r>
  </si>
  <si>
    <r>
      <rPr>
        <u/>
        <sz val="10"/>
        <color rgb="FF1155CC"/>
        <rFont val="&quot;Roboto Condensed&quot;, sans-serif"/>
      </rPr>
      <t>Villa de Trancas</t>
    </r>
  </si>
  <si>
    <r>
      <rPr>
        <u/>
        <sz val="10"/>
        <color rgb="FF1155CC"/>
        <rFont val="&quot;Roboto Condensed&quot;, sans-serif"/>
      </rPr>
      <t>Villa Fiad</t>
    </r>
    <r>
      <rPr>
        <sz val="10"/>
        <color theme="1"/>
        <rFont val="&quot;Roboto Condensed&quot;, sans-serif"/>
      </rPr>
      <t xml:space="preserve"> (- Ingenio Leales; incl. Pala Pala)</t>
    </r>
  </si>
  <si>
    <r>
      <rPr>
        <u/>
        <sz val="10"/>
        <color rgb="FF1155CC"/>
        <rFont val="&quot;Roboto Condensed&quot;, sans-serif"/>
      </rPr>
      <t>Villa Nougués</t>
    </r>
  </si>
  <si>
    <r>
      <rPr>
        <u/>
        <sz val="10"/>
        <color rgb="FF1155CC"/>
        <rFont val="&quot;Roboto Condensed&quot;, sans-serif"/>
      </rPr>
      <t>Villa Padre Monti</t>
    </r>
  </si>
  <si>
    <r>
      <rPr>
        <u/>
        <sz val="10"/>
        <color rgb="FF1155CC"/>
        <rFont val="&quot;Roboto Condensed&quot;, sans-serif"/>
      </rPr>
      <t>Villa Quinteros</t>
    </r>
  </si>
  <si>
    <r>
      <rPr>
        <u/>
        <sz val="10"/>
        <color rgb="FF1155CC"/>
        <rFont val="&quot;Roboto Condensed&quot;, sans-serif"/>
      </rPr>
      <t>Villa Regina</t>
    </r>
  </si>
  <si>
    <r>
      <rPr>
        <u/>
        <sz val="10"/>
        <color rgb="FF1155CC"/>
        <rFont val="&quot;Roboto Condensed&quot;, sans-serif"/>
      </rPr>
      <t>Villa San Javier</t>
    </r>
  </si>
  <si>
    <r>
      <rPr>
        <u/>
        <sz val="10"/>
        <color rgb="FF1155CC"/>
        <rFont val="&quot;Roboto Condensed&quot;, sans-serif"/>
      </rPr>
      <t>Vipos</t>
    </r>
  </si>
  <si>
    <r>
      <rPr>
        <u/>
        <sz val="10"/>
        <color rgb="FF1155CC"/>
        <rFont val="&quot;Roboto Condensed&quot;, sans-serif"/>
      </rPr>
      <t>Yánima</t>
    </r>
  </si>
  <si>
    <r>
      <rPr>
        <u/>
        <sz val="10"/>
        <color rgb="FF1155CC"/>
        <rFont val="&quot;Roboto Condensed&quot;, sans-serif"/>
      </rPr>
      <t>Yerba Buena</t>
    </r>
  </si>
  <si>
    <r>
      <rPr>
        <u/>
        <sz val="10"/>
        <color rgb="FF1155CC"/>
        <rFont val="&quot;Roboto Condensed&quot;, sans-serif"/>
      </rPr>
      <t>Yerba Buena</t>
    </r>
    <r>
      <rPr>
        <sz val="10"/>
        <color theme="1"/>
        <rFont val="&quot;Roboto Condensed&quot;, sans-serif"/>
      </rPr>
      <t xml:space="preserve"> (- Marcos Paz)</t>
    </r>
  </si>
  <si>
    <r>
      <rPr>
        <u/>
        <sz val="10"/>
        <color rgb="FF1155CC"/>
        <rFont val="&quot;Roboto Condensed&quot;, sans-serif"/>
      </rPr>
      <t>Zavalía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</si>
</sst>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#,##0.0000"/>
  </numFmts>
  <fonts count="1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&quot;Google Sans&quot;"/>
    </font>
    <font>
      <b/>
      <sz val="11"/>
      <color theme="1"/>
      <name val="&quot;Roboto Condensed&quot;"/>
    </font>
    <font>
      <b/>
      <sz val="10"/>
      <color theme="1"/>
      <name val="&quot;Roboto Condensed&quot;"/>
    </font>
    <font>
      <sz val="10"/>
      <color theme="1"/>
      <name val="&quot;Roboto Condensed&quot;"/>
    </font>
    <font>
      <sz val="10"/>
      <color rgb="FF000000"/>
      <name val="&quot;Roboto Condensed&quot;"/>
    </font>
    <font>
      <sz val="10"/>
      <color theme="1"/>
      <name val="Arial"/>
      <family val="2"/>
    </font>
    <font>
      <u/>
      <sz val="10"/>
      <color rgb="FF1155CC"/>
      <name val="&quot;Roboto Condensed&quot;, sans-serif"/>
    </font>
    <font>
      <b/>
      <u/>
      <sz val="11"/>
      <color rgb="FF1155CC"/>
      <name val="&quot;Roboto Condensed&quot;, sans-serif"/>
    </font>
    <font>
      <b/>
      <u/>
      <sz val="10"/>
      <color rgb="FF1155CC"/>
      <name val="&quot;Roboto Condensed&quot;, sans-serif"/>
    </font>
    <font>
      <b/>
      <sz val="10"/>
      <color theme="1"/>
      <name val="&quot;Roboto Condensed&quot;, sans-serif"/>
    </font>
    <font>
      <sz val="10"/>
      <color theme="1"/>
      <name val="&quot;Roboto Condensed&quot;, sans-serif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5" fillId="0" borderId="1" xfId="0" applyFont="1" applyBorder="1" applyAlignment="1">
      <alignment horizontal="left" vertical="top"/>
    </xf>
    <xf numFmtId="0" fontId="6" fillId="3" borderId="1" xfId="0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6" fillId="3" borderId="1" xfId="0" applyFont="1" applyFill="1" applyBorder="1" applyAlignment="1">
      <alignment horizontal="left" vertical="top"/>
    </xf>
    <xf numFmtId="10" fontId="1" fillId="0" borderId="1" xfId="0" applyNumberFormat="1" applyFont="1" applyBorder="1"/>
    <xf numFmtId="166" fontId="7" fillId="0" borderId="1" xfId="0" applyNumberFormat="1" applyFont="1" applyBorder="1" applyAlignment="1">
      <alignment horizontal="left"/>
    </xf>
    <xf numFmtId="2" fontId="1" fillId="0" borderId="1" xfId="0" applyNumberFormat="1" applyFont="1" applyBorder="1"/>
    <xf numFmtId="0" fontId="1" fillId="0" borderId="0" xfId="0" applyFont="1"/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right" vertical="top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Departamento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2"/>
  <sheetViews>
    <sheetView workbookViewId="0">
      <selection activeCell="B12" sqref="B12"/>
    </sheetView>
  </sheetViews>
  <sheetFormatPr baseColWidth="10" defaultColWidth="12.6640625" defaultRowHeight="15.75" customHeight="1"/>
  <cols>
    <col min="1" max="1" width="43.109375" customWidth="1"/>
    <col min="2" max="2" width="72.109375" customWidth="1"/>
    <col min="3" max="3" width="29.21875" customWidth="1"/>
    <col min="5" max="5" width="17.21875" customWidth="1"/>
    <col min="6" max="6" width="23.44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>
        <v>-26.812021293662301</v>
      </c>
      <c r="E2" s="1">
        <v>-65.294802904175896</v>
      </c>
    </row>
    <row r="3" spans="1:5">
      <c r="A3" s="1" t="s">
        <v>5</v>
      </c>
      <c r="B3" s="1" t="s">
        <v>8</v>
      </c>
      <c r="C3" s="1" t="s">
        <v>7</v>
      </c>
      <c r="D3" s="1">
        <v>-26.8089714588493</v>
      </c>
      <c r="E3" s="1">
        <v>-65.247790604176004</v>
      </c>
    </row>
    <row r="4" spans="1:5">
      <c r="A4" s="1" t="s">
        <v>5</v>
      </c>
      <c r="B4" s="1" t="s">
        <v>9</v>
      </c>
      <c r="C4" s="1" t="s">
        <v>7</v>
      </c>
      <c r="D4" s="1">
        <v>-26.823295534638</v>
      </c>
      <c r="E4" s="1">
        <v>-65.240619788812197</v>
      </c>
    </row>
    <row r="5" spans="1:5">
      <c r="A5" s="1" t="s">
        <v>5</v>
      </c>
      <c r="B5" s="1" t="s">
        <v>10</v>
      </c>
      <c r="C5" s="1" t="s">
        <v>7</v>
      </c>
      <c r="D5" s="1">
        <v>-26.818031253535999</v>
      </c>
      <c r="E5" s="1">
        <v>-65.205514988832306</v>
      </c>
    </row>
    <row r="6" spans="1:5">
      <c r="A6" s="1" t="s">
        <v>5</v>
      </c>
      <c r="B6" s="1" t="s">
        <v>11</v>
      </c>
      <c r="C6" s="1" t="s">
        <v>7</v>
      </c>
      <c r="D6" s="1">
        <v>-26.831630618552701</v>
      </c>
      <c r="E6" s="1">
        <v>-65.219020709676698</v>
      </c>
    </row>
    <row r="7" spans="1:5">
      <c r="A7" s="1" t="s">
        <v>5</v>
      </c>
      <c r="B7" s="1" t="s">
        <v>12</v>
      </c>
      <c r="C7" s="1" t="s">
        <v>7</v>
      </c>
      <c r="D7" s="1">
        <v>-26.842023701211598</v>
      </c>
      <c r="E7" s="1">
        <v>-65.211661019518303</v>
      </c>
    </row>
    <row r="8" spans="1:5">
      <c r="A8" s="2" t="s">
        <v>5</v>
      </c>
      <c r="B8" s="2" t="s">
        <v>13</v>
      </c>
      <c r="C8" s="1" t="s">
        <v>7</v>
      </c>
      <c r="D8" s="2">
        <v>-26.836363346661699</v>
      </c>
      <c r="E8" s="2">
        <v>-65.194647142684403</v>
      </c>
    </row>
    <row r="9" spans="1:5">
      <c r="A9" s="1" t="s">
        <v>5</v>
      </c>
      <c r="B9" s="1" t="s">
        <v>14</v>
      </c>
      <c r="C9" s="1" t="s">
        <v>7</v>
      </c>
      <c r="D9" s="1">
        <v>-26.8224966377506</v>
      </c>
      <c r="E9" s="1">
        <v>-65.176956633011301</v>
      </c>
    </row>
    <row r="10" spans="1:5">
      <c r="A10" s="1" t="s">
        <v>5</v>
      </c>
      <c r="B10" s="1" t="s">
        <v>15</v>
      </c>
      <c r="C10" s="1" t="s">
        <v>7</v>
      </c>
      <c r="D10" s="1">
        <v>-27.345144287133198</v>
      </c>
      <c r="E10" s="1" t="s">
        <v>16</v>
      </c>
    </row>
    <row r="11" spans="1:5">
      <c r="A11" s="1" t="s">
        <v>5</v>
      </c>
      <c r="B11" s="1" t="s">
        <v>17</v>
      </c>
      <c r="C11" s="1" t="s">
        <v>7</v>
      </c>
      <c r="D11" s="1">
        <v>-27.588042536958501</v>
      </c>
      <c r="E11" s="1">
        <v>-65.620248290121907</v>
      </c>
    </row>
    <row r="12" spans="1:5">
      <c r="A12" s="1" t="s">
        <v>18</v>
      </c>
      <c r="B12" s="1" t="s">
        <v>19</v>
      </c>
      <c r="C12" s="1" t="s">
        <v>7</v>
      </c>
      <c r="D12" s="1">
        <v>-26.822195384482399</v>
      </c>
      <c r="E12" s="1">
        <v>-65.268799066591797</v>
      </c>
    </row>
    <row r="13" spans="1:5">
      <c r="A13" s="1" t="s">
        <v>20</v>
      </c>
      <c r="B13" s="1" t="s">
        <v>21</v>
      </c>
      <c r="C13" s="1" t="s">
        <v>22</v>
      </c>
      <c r="D13" s="1">
        <v>-26.793657076538</v>
      </c>
      <c r="E13" s="1">
        <v>-65.223948588833295</v>
      </c>
    </row>
    <row r="14" spans="1:5">
      <c r="A14" s="1" t="s">
        <v>20</v>
      </c>
      <c r="B14" s="1" t="s">
        <v>23</v>
      </c>
      <c r="C14" s="1" t="s">
        <v>22</v>
      </c>
      <c r="D14" s="1">
        <v>-26.804659112604099</v>
      </c>
      <c r="E14" s="1">
        <v>-65.260392059997002</v>
      </c>
    </row>
    <row r="15" spans="1:5">
      <c r="A15" s="1" t="s">
        <v>20</v>
      </c>
      <c r="B15" s="1" t="s">
        <v>24</v>
      </c>
      <c r="C15" s="1" t="s">
        <v>22</v>
      </c>
      <c r="D15" s="1">
        <v>-26.837210846450201</v>
      </c>
      <c r="E15" s="1">
        <v>-65.169063806723003</v>
      </c>
    </row>
    <row r="16" spans="1:5">
      <c r="A16" s="1" t="s">
        <v>20</v>
      </c>
      <c r="B16" s="1" t="s">
        <v>25</v>
      </c>
      <c r="C16" s="1" t="s">
        <v>22</v>
      </c>
      <c r="D16" s="1">
        <v>-26.865992343518599</v>
      </c>
      <c r="E16" s="1">
        <v>-65.220824304173803</v>
      </c>
    </row>
    <row r="17" spans="1:5">
      <c r="A17" s="1" t="s">
        <v>26</v>
      </c>
      <c r="B17" s="1" t="s">
        <v>27</v>
      </c>
      <c r="C17" s="1" t="s">
        <v>28</v>
      </c>
      <c r="D17" s="1">
        <v>-26.834509500934701</v>
      </c>
      <c r="E17" s="1">
        <v>-65.252895890682595</v>
      </c>
    </row>
    <row r="18" spans="1:5">
      <c r="A18" s="1" t="s">
        <v>26</v>
      </c>
      <c r="B18" s="1" t="s">
        <v>29</v>
      </c>
      <c r="C18" s="1" t="s">
        <v>28</v>
      </c>
      <c r="D18" s="1">
        <v>-26.795250647897898</v>
      </c>
      <c r="E18" s="1">
        <v>-65.209060092534898</v>
      </c>
    </row>
    <row r="19" spans="1:5">
      <c r="A19" s="1" t="s">
        <v>30</v>
      </c>
      <c r="B19" s="1" t="s">
        <v>31</v>
      </c>
      <c r="C19" s="1" t="s">
        <v>32</v>
      </c>
      <c r="D19" s="1">
        <v>-26.800072448863698</v>
      </c>
      <c r="E19" s="1">
        <v>-65.295901748355504</v>
      </c>
    </row>
    <row r="20" spans="1:5">
      <c r="A20" s="1" t="s">
        <v>30</v>
      </c>
      <c r="B20" s="1" t="s">
        <v>33</v>
      </c>
      <c r="C20" s="1" t="s">
        <v>32</v>
      </c>
      <c r="D20" s="1">
        <v>-26.845778041469401</v>
      </c>
      <c r="E20" s="1">
        <v>-65.211263946502996</v>
      </c>
    </row>
    <row r="21" spans="1:5">
      <c r="A21" s="1" t="s">
        <v>30</v>
      </c>
      <c r="B21" s="1" t="s">
        <v>34</v>
      </c>
      <c r="C21" s="1" t="s">
        <v>32</v>
      </c>
      <c r="D21" s="1">
        <v>-26.8430899942806</v>
      </c>
      <c r="E21" s="1">
        <v>-65.196517704174795</v>
      </c>
    </row>
    <row r="22" spans="1:5">
      <c r="A22" s="1" t="s">
        <v>30</v>
      </c>
      <c r="B22" s="1" t="s">
        <v>35</v>
      </c>
      <c r="C22" s="1" t="s">
        <v>32</v>
      </c>
      <c r="D22" s="1">
        <v>-26.765142148603001</v>
      </c>
      <c r="E22" s="1">
        <v>-65.235188333013497</v>
      </c>
    </row>
    <row r="23" spans="1:5">
      <c r="A23" s="1" t="s">
        <v>30</v>
      </c>
      <c r="B23" s="1" t="s">
        <v>36</v>
      </c>
      <c r="C23" s="1" t="s">
        <v>32</v>
      </c>
      <c r="D23" s="1">
        <v>-26.7458859574839</v>
      </c>
      <c r="E23" s="1">
        <v>-65.252732219521704</v>
      </c>
    </row>
    <row r="24" spans="1:5">
      <c r="A24" s="1" t="s">
        <v>37</v>
      </c>
      <c r="B24" s="1" t="s">
        <v>38</v>
      </c>
      <c r="C24" s="1" t="s">
        <v>7</v>
      </c>
      <c r="D24" s="1">
        <v>-26.795423331010898</v>
      </c>
      <c r="E24" s="1">
        <v>-65.208358068769698</v>
      </c>
    </row>
    <row r="25" spans="1:5">
      <c r="A25" s="1" t="s">
        <v>39</v>
      </c>
      <c r="B25" s="1" t="s">
        <v>40</v>
      </c>
      <c r="C25" s="1" t="s">
        <v>41</v>
      </c>
      <c r="D25" s="1">
        <v>-26.852325565204598</v>
      </c>
      <c r="E25" s="1">
        <v>-65.224075280690002</v>
      </c>
    </row>
    <row r="26" spans="1:5">
      <c r="A26" s="1" t="s">
        <v>39</v>
      </c>
      <c r="B26" s="1" t="s">
        <v>42</v>
      </c>
      <c r="C26" s="1" t="s">
        <v>41</v>
      </c>
      <c r="D26" s="1">
        <v>-26.8163452531075</v>
      </c>
      <c r="E26" s="1">
        <v>-65.193513784954803</v>
      </c>
    </row>
    <row r="27" spans="1:5">
      <c r="A27" s="1" t="s">
        <v>39</v>
      </c>
      <c r="B27" s="1" t="s">
        <v>43</v>
      </c>
      <c r="C27" s="1" t="s">
        <v>41</v>
      </c>
      <c r="D27" s="1">
        <v>-26.8103538592296</v>
      </c>
      <c r="E27" s="1">
        <v>-65.243262518616703</v>
      </c>
    </row>
    <row r="28" spans="1:5">
      <c r="A28" s="1" t="s">
        <v>44</v>
      </c>
      <c r="B28" s="1" t="s">
        <v>45</v>
      </c>
      <c r="C28" s="1" t="s">
        <v>44</v>
      </c>
      <c r="D28" s="1">
        <v>-26.812919455356301</v>
      </c>
      <c r="E28" s="1">
        <v>-65.292203529864906</v>
      </c>
    </row>
    <row r="29" spans="1:5">
      <c r="A29" s="1" t="s">
        <v>44</v>
      </c>
      <c r="B29" s="1" t="s">
        <v>46</v>
      </c>
      <c r="C29" s="1" t="s">
        <v>44</v>
      </c>
      <c r="D29" s="1">
        <v>-26.814348903194301</v>
      </c>
      <c r="E29" s="1">
        <v>-65.209329694493107</v>
      </c>
    </row>
    <row r="30" spans="1:5">
      <c r="A30" s="1" t="s">
        <v>44</v>
      </c>
      <c r="B30" s="1" t="s">
        <v>47</v>
      </c>
      <c r="C30" s="1" t="s">
        <v>44</v>
      </c>
      <c r="D30" s="1">
        <v>-26.830046007823402</v>
      </c>
      <c r="E30" s="1">
        <v>-65.206861433402693</v>
      </c>
    </row>
    <row r="31" spans="1:5">
      <c r="A31" s="1" t="s">
        <v>44</v>
      </c>
      <c r="B31" s="1" t="s">
        <v>48</v>
      </c>
      <c r="C31" s="1" t="s">
        <v>44</v>
      </c>
      <c r="D31" s="1">
        <v>-26.830179863657701</v>
      </c>
      <c r="E31" s="1">
        <v>-65.201961208453596</v>
      </c>
    </row>
    <row r="32" spans="1:5">
      <c r="A32" s="1" t="s">
        <v>49</v>
      </c>
      <c r="B32" s="1" t="s">
        <v>50</v>
      </c>
      <c r="C32" s="1" t="s">
        <v>51</v>
      </c>
      <c r="D32" s="1">
        <v>-26.816056496408599</v>
      </c>
      <c r="E32" s="1">
        <v>-65.2496983614204</v>
      </c>
    </row>
    <row r="33" spans="1:5">
      <c r="A33" s="1" t="s">
        <v>49</v>
      </c>
      <c r="B33" s="1" t="s">
        <v>52</v>
      </c>
      <c r="C33" s="1" t="s">
        <v>51</v>
      </c>
      <c r="D33" s="1">
        <v>-26.799674548192002</v>
      </c>
      <c r="E33" s="1">
        <v>-65.205134588833005</v>
      </c>
    </row>
    <row r="34" spans="1:5">
      <c r="A34" s="1" t="s">
        <v>49</v>
      </c>
      <c r="B34" s="1" t="s">
        <v>53</v>
      </c>
      <c r="C34" s="1" t="s">
        <v>51</v>
      </c>
      <c r="D34" s="1">
        <v>-26.833714373405801</v>
      </c>
      <c r="E34" s="1">
        <v>-65.222987288831703</v>
      </c>
    </row>
    <row r="35" spans="1:5">
      <c r="A35" s="1" t="s">
        <v>54</v>
      </c>
      <c r="B35" s="1" t="s">
        <v>55</v>
      </c>
      <c r="C35" s="1" t="s">
        <v>56</v>
      </c>
      <c r="D35" s="1">
        <v>-26.816405926486901</v>
      </c>
      <c r="E35" s="1">
        <v>-65.237777004175797</v>
      </c>
    </row>
    <row r="36" spans="1:5">
      <c r="A36" s="1" t="s">
        <v>54</v>
      </c>
      <c r="B36" s="1" t="s">
        <v>57</v>
      </c>
      <c r="C36" s="1" t="s">
        <v>56</v>
      </c>
      <c r="D36" s="1">
        <v>-26.814009198020401</v>
      </c>
      <c r="E36" s="1">
        <v>-65.222653944653203</v>
      </c>
    </row>
    <row r="37" spans="1:5">
      <c r="A37" s="1" t="s">
        <v>54</v>
      </c>
      <c r="B37" s="1" t="s">
        <v>58</v>
      </c>
      <c r="C37" s="1" t="s">
        <v>56</v>
      </c>
      <c r="D37" s="1">
        <v>-26.822226760787899</v>
      </c>
      <c r="E37" s="1">
        <v>-65.204255406026405</v>
      </c>
    </row>
    <row r="38" spans="1:5">
      <c r="A38" s="1" t="s">
        <v>59</v>
      </c>
      <c r="B38" s="1" t="s">
        <v>60</v>
      </c>
      <c r="C38" s="1" t="s">
        <v>59</v>
      </c>
      <c r="D38" s="1">
        <v>-26.8363086812208</v>
      </c>
      <c r="E38" s="1">
        <v>-65.211085116481598</v>
      </c>
    </row>
    <row r="39" spans="1:5">
      <c r="A39" s="1" t="s">
        <v>59</v>
      </c>
      <c r="B39" s="1" t="s">
        <v>61</v>
      </c>
      <c r="C39" s="1" t="s">
        <v>59</v>
      </c>
      <c r="D39" s="1">
        <v>-26.843104137376098</v>
      </c>
      <c r="E39" s="1">
        <v>-65.230407898379795</v>
      </c>
    </row>
    <row r="40" spans="1:5">
      <c r="A40" s="1" t="s">
        <v>62</v>
      </c>
      <c r="B40" s="1" t="s">
        <v>63</v>
      </c>
      <c r="C40" s="1" t="s">
        <v>59</v>
      </c>
      <c r="D40" s="1">
        <v>-26.824798713463601</v>
      </c>
      <c r="E40" s="1">
        <v>-65.202729520313397</v>
      </c>
    </row>
    <row r="41" spans="1:5">
      <c r="A41" s="1" t="s">
        <v>64</v>
      </c>
      <c r="B41" s="1" t="s">
        <v>65</v>
      </c>
      <c r="C41" s="1" t="s">
        <v>59</v>
      </c>
      <c r="D41" s="1">
        <v>-26.839964168727199</v>
      </c>
      <c r="E41" s="1">
        <v>-65.209977750876305</v>
      </c>
    </row>
    <row r="42" spans="1:5">
      <c r="A42" s="3" t="s">
        <v>66</v>
      </c>
      <c r="B42" s="1" t="s">
        <v>67</v>
      </c>
      <c r="C42" s="1" t="s">
        <v>59</v>
      </c>
      <c r="D42" s="1">
        <v>-26.835111492128899</v>
      </c>
      <c r="E42" s="1">
        <v>-65.185825523582594</v>
      </c>
    </row>
    <row r="43" spans="1:5">
      <c r="A43" s="3" t="s">
        <v>68</v>
      </c>
      <c r="B43" s="1" t="s">
        <v>69</v>
      </c>
      <c r="C43" s="1" t="s">
        <v>59</v>
      </c>
      <c r="D43" s="1">
        <v>-26.830732372731699</v>
      </c>
      <c r="E43" s="1">
        <v>-65.220781615093799</v>
      </c>
    </row>
    <row r="44" spans="1:5">
      <c r="A44" s="3" t="s">
        <v>70</v>
      </c>
      <c r="B44" s="1" t="s">
        <v>71</v>
      </c>
      <c r="C44" s="1" t="s">
        <v>59</v>
      </c>
      <c r="D44" s="1">
        <v>-26.8158841427169</v>
      </c>
      <c r="E44" s="1">
        <v>-65.276205864722897</v>
      </c>
    </row>
    <row r="45" spans="1:5">
      <c r="A45" s="1" t="s">
        <v>72</v>
      </c>
      <c r="B45" s="1" t="s">
        <v>73</v>
      </c>
      <c r="C45" s="1" t="s">
        <v>59</v>
      </c>
      <c r="D45" s="1">
        <v>-27.1628112423309</v>
      </c>
      <c r="E45" s="1">
        <v>-65.492400507615898</v>
      </c>
    </row>
    <row r="46" spans="1:5">
      <c r="A46" s="3" t="s">
        <v>74</v>
      </c>
      <c r="B46" s="1" t="s">
        <v>75</v>
      </c>
      <c r="C46" s="1" t="s">
        <v>59</v>
      </c>
      <c r="D46" s="1">
        <v>-26.8162305807653</v>
      </c>
      <c r="E46" s="1">
        <v>-65.2112223794486</v>
      </c>
    </row>
    <row r="47" spans="1:5">
      <c r="A47" s="3" t="s">
        <v>76</v>
      </c>
      <c r="B47" s="1" t="s">
        <v>77</v>
      </c>
      <c r="C47" s="1" t="s">
        <v>59</v>
      </c>
      <c r="D47" s="1">
        <v>-26.834987218299101</v>
      </c>
      <c r="E47" s="1">
        <v>-65.212649504328198</v>
      </c>
    </row>
    <row r="48" spans="1:5">
      <c r="A48" s="3" t="s">
        <v>78</v>
      </c>
      <c r="B48" s="1" t="s">
        <v>79</v>
      </c>
      <c r="C48" s="1" t="s">
        <v>80</v>
      </c>
      <c r="D48" s="1">
        <v>-26.816752385723799</v>
      </c>
      <c r="E48" s="1">
        <v>-65.199597920426896</v>
      </c>
    </row>
    <row r="49" spans="1:5">
      <c r="A49" s="3" t="s">
        <v>81</v>
      </c>
      <c r="B49" s="1" t="s">
        <v>82</v>
      </c>
      <c r="C49" s="1" t="s">
        <v>80</v>
      </c>
      <c r="D49" s="1">
        <v>-27.331210164342501</v>
      </c>
      <c r="E49" s="1">
        <v>-65.606575024049206</v>
      </c>
    </row>
    <row r="50" spans="1:5">
      <c r="A50" s="1" t="s">
        <v>83</v>
      </c>
      <c r="B50" s="1" t="s">
        <v>84</v>
      </c>
      <c r="C50" s="1" t="s">
        <v>83</v>
      </c>
      <c r="D50" s="1">
        <v>-26.832900481739198</v>
      </c>
      <c r="E50" s="1">
        <v>-65.205394876409997</v>
      </c>
    </row>
    <row r="51" spans="1:5">
      <c r="A51" s="3" t="s">
        <v>85</v>
      </c>
      <c r="B51" s="1" t="s">
        <v>86</v>
      </c>
      <c r="C51" s="1" t="s">
        <v>83</v>
      </c>
      <c r="D51" s="1">
        <v>-26.799836504795501</v>
      </c>
      <c r="E51" s="1">
        <v>-65.299255597494493</v>
      </c>
    </row>
    <row r="52" spans="1:5">
      <c r="A52" s="3" t="s">
        <v>87</v>
      </c>
      <c r="B52" s="1" t="s">
        <v>88</v>
      </c>
      <c r="C52" s="1" t="s">
        <v>89</v>
      </c>
      <c r="D52" s="1">
        <v>-26.831170836502899</v>
      </c>
      <c r="E52" s="1">
        <v>-65.204437525750194</v>
      </c>
    </row>
    <row r="53" spans="1:5">
      <c r="A53" s="3" t="s">
        <v>90</v>
      </c>
      <c r="B53" s="1" t="s">
        <v>91</v>
      </c>
      <c r="C53" s="1" t="s">
        <v>89</v>
      </c>
      <c r="D53" s="1">
        <v>-26.869068576239702</v>
      </c>
      <c r="E53" s="1">
        <v>-65.317274672821995</v>
      </c>
    </row>
    <row r="54" spans="1:5">
      <c r="A54" s="4" t="s">
        <v>92</v>
      </c>
      <c r="B54" s="1" t="s">
        <v>93</v>
      </c>
      <c r="C54" s="1"/>
      <c r="D54" s="1">
        <v>-26.7319705383164</v>
      </c>
      <c r="E54" s="1">
        <v>-65.257958171540295</v>
      </c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  <row r="59" spans="1:5">
      <c r="A59" s="1"/>
      <c r="B59" s="1"/>
      <c r="C59" s="1"/>
      <c r="D59" s="1"/>
      <c r="E59" s="1"/>
    </row>
    <row r="60" spans="1:5">
      <c r="A60" s="1"/>
      <c r="B60" s="1"/>
      <c r="C60" s="1"/>
      <c r="D60" s="1"/>
      <c r="E60" s="1"/>
    </row>
    <row r="61" spans="1:5">
      <c r="A61" s="1"/>
      <c r="B61" s="1"/>
      <c r="C61" s="1"/>
      <c r="D61" s="1"/>
      <c r="E61" s="1"/>
    </row>
    <row r="62" spans="1:5">
      <c r="A62" s="1"/>
      <c r="B62" s="1"/>
      <c r="C62" s="1"/>
      <c r="D62" s="1"/>
      <c r="E6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82"/>
  <sheetViews>
    <sheetView tabSelected="1" workbookViewId="0">
      <selection activeCell="F22" sqref="F22"/>
    </sheetView>
  </sheetViews>
  <sheetFormatPr baseColWidth="10" defaultColWidth="12.6640625" defaultRowHeight="15.75" customHeight="1"/>
  <cols>
    <col min="1" max="1" width="68.44140625" customWidth="1"/>
    <col min="2" max="2" width="15.109375" customWidth="1"/>
    <col min="3" max="6" width="9" customWidth="1"/>
    <col min="7" max="7" width="19.88671875" customWidth="1"/>
    <col min="8" max="8" width="14" customWidth="1"/>
    <col min="9" max="9" width="21.21875" customWidth="1"/>
  </cols>
  <sheetData>
    <row r="1" spans="1:12">
      <c r="A1" s="7" t="s">
        <v>95</v>
      </c>
      <c r="B1" s="7" t="s">
        <v>96</v>
      </c>
      <c r="C1" s="8" t="s">
        <v>97</v>
      </c>
      <c r="D1" s="8" t="s">
        <v>98</v>
      </c>
      <c r="E1" s="8" t="s">
        <v>99</v>
      </c>
      <c r="F1" s="8" t="s">
        <v>100</v>
      </c>
      <c r="G1" s="8" t="s">
        <v>101</v>
      </c>
      <c r="H1" s="9" t="s">
        <v>102</v>
      </c>
      <c r="I1" s="9" t="s">
        <v>103</v>
      </c>
    </row>
    <row r="2" spans="1:12">
      <c r="A2" s="5" t="s">
        <v>104</v>
      </c>
      <c r="B2" s="10" t="s">
        <v>105</v>
      </c>
      <c r="C2" s="6">
        <v>436</v>
      </c>
      <c r="D2" s="6">
        <v>439</v>
      </c>
      <c r="E2" s="6">
        <v>492</v>
      </c>
      <c r="F2" s="6">
        <v>922</v>
      </c>
      <c r="G2" s="11">
        <f t="shared" ref="G2:G6" si="0">(F2-C2)/C2/31</f>
        <v>3.5957383841373189E-2</v>
      </c>
      <c r="H2" s="12">
        <v>1.542</v>
      </c>
      <c r="I2" s="13">
        <f t="shared" ref="I2:I182" si="1">F2/H2</f>
        <v>597.92477302204929</v>
      </c>
    </row>
    <row r="3" spans="1:12">
      <c r="A3" s="5" t="s">
        <v>106</v>
      </c>
      <c r="B3" s="10" t="s">
        <v>107</v>
      </c>
      <c r="C3" s="6">
        <v>1.726</v>
      </c>
      <c r="D3" s="6">
        <v>2.093</v>
      </c>
      <c r="E3" s="6">
        <v>2.6829999999999998</v>
      </c>
      <c r="F3" s="6">
        <v>3.6779999999999999</v>
      </c>
      <c r="G3" s="11">
        <f t="shared" si="0"/>
        <v>3.648188988150862E-2</v>
      </c>
      <c r="H3" s="12">
        <v>1.9730000000000001</v>
      </c>
      <c r="I3" s="13">
        <f t="shared" si="1"/>
        <v>1.8641662442980231</v>
      </c>
      <c r="L3" s="14">
        <f>2022-1991</f>
        <v>31</v>
      </c>
    </row>
    <row r="4" spans="1:12">
      <c r="A4" s="5" t="s">
        <v>108</v>
      </c>
      <c r="B4" s="10" t="s">
        <v>109</v>
      </c>
      <c r="C4" s="6">
        <v>26.657</v>
      </c>
      <c r="D4" s="6">
        <v>31.201000000000001</v>
      </c>
      <c r="E4" s="6">
        <v>32.908000000000001</v>
      </c>
      <c r="F4" s="6">
        <v>39.311</v>
      </c>
      <c r="G4" s="11">
        <f t="shared" si="0"/>
        <v>1.5312808957763319E-2</v>
      </c>
      <c r="H4" s="12">
        <v>9.4179999999999993</v>
      </c>
      <c r="I4" s="13">
        <f t="shared" si="1"/>
        <v>4.174028456147802</v>
      </c>
    </row>
    <row r="5" spans="1:12">
      <c r="A5" s="5" t="s">
        <v>110</v>
      </c>
      <c r="B5" s="10" t="s">
        <v>111</v>
      </c>
      <c r="C5" s="6">
        <v>19.497</v>
      </c>
      <c r="D5" s="6">
        <v>32.530999999999999</v>
      </c>
      <c r="E5" s="6">
        <v>41.947000000000003</v>
      </c>
      <c r="F5" s="6">
        <v>65.974999999999994</v>
      </c>
      <c r="G5" s="11">
        <f t="shared" si="0"/>
        <v>7.6898513749840747E-2</v>
      </c>
      <c r="H5" s="12">
        <v>14.26</v>
      </c>
      <c r="I5" s="13">
        <f t="shared" si="1"/>
        <v>4.6265778401122013</v>
      </c>
    </row>
    <row r="6" spans="1:12">
      <c r="A6" s="5" t="s">
        <v>112</v>
      </c>
      <c r="B6" s="10" t="s">
        <v>113</v>
      </c>
      <c r="C6" s="6">
        <v>529</v>
      </c>
      <c r="D6" s="6">
        <v>659</v>
      </c>
      <c r="E6" s="6">
        <v>1.8380000000000001</v>
      </c>
      <c r="F6" s="6">
        <v>2.0449999999999999</v>
      </c>
      <c r="G6" s="11">
        <f t="shared" si="0"/>
        <v>-3.2133361790353074E-2</v>
      </c>
      <c r="H6" s="12">
        <v>1.8879999999999999</v>
      </c>
      <c r="I6" s="13">
        <f t="shared" si="1"/>
        <v>1.0831567796610169</v>
      </c>
    </row>
    <row r="7" spans="1:12">
      <c r="A7" s="5" t="s">
        <v>114</v>
      </c>
      <c r="B7" s="10" t="s">
        <v>115</v>
      </c>
      <c r="C7" s="6" t="s">
        <v>116</v>
      </c>
      <c r="D7" s="6" t="s">
        <v>116</v>
      </c>
      <c r="E7" s="6" t="s">
        <v>116</v>
      </c>
      <c r="F7" s="6">
        <v>176</v>
      </c>
      <c r="G7" s="11">
        <v>0</v>
      </c>
      <c r="H7" s="12">
        <v>5.7839999999999998</v>
      </c>
      <c r="I7" s="13">
        <f t="shared" si="1"/>
        <v>30.428769017980638</v>
      </c>
    </row>
    <row r="8" spans="1:12">
      <c r="A8" s="5" t="s">
        <v>117</v>
      </c>
      <c r="B8" s="10" t="s">
        <v>113</v>
      </c>
      <c r="C8" s="6">
        <v>1.7749999999999999</v>
      </c>
      <c r="D8" s="6">
        <v>2.4630000000000001</v>
      </c>
      <c r="E8" s="6">
        <v>2.3410000000000002</v>
      </c>
      <c r="F8" s="6">
        <v>3.3490000000000002</v>
      </c>
      <c r="G8" s="11">
        <f t="shared" ref="G8:G9" si="2">(F8-C8)/C8/31</f>
        <v>2.8605179463880061E-2</v>
      </c>
      <c r="H8" s="12">
        <v>8.9469999999999992</v>
      </c>
      <c r="I8" s="13">
        <f t="shared" si="1"/>
        <v>0.37431541298759369</v>
      </c>
    </row>
    <row r="9" spans="1:12">
      <c r="A9" s="5" t="s">
        <v>118</v>
      </c>
      <c r="B9" s="10" t="s">
        <v>119</v>
      </c>
      <c r="C9" s="6">
        <v>880</v>
      </c>
      <c r="D9" s="6">
        <v>1.139</v>
      </c>
      <c r="E9" s="6">
        <v>1.327</v>
      </c>
      <c r="F9" s="6">
        <v>2.6429999999999998</v>
      </c>
      <c r="G9" s="11">
        <f t="shared" si="2"/>
        <v>-3.2161180351906155E-2</v>
      </c>
      <c r="H9" s="12">
        <v>6.3529999999999998</v>
      </c>
      <c r="I9" s="13">
        <f t="shared" si="1"/>
        <v>0.41602392570439162</v>
      </c>
    </row>
    <row r="10" spans="1:12">
      <c r="A10" s="5" t="s">
        <v>120</v>
      </c>
      <c r="B10" s="10" t="s">
        <v>107</v>
      </c>
      <c r="C10" s="6" t="s">
        <v>116</v>
      </c>
      <c r="D10" s="6" t="s">
        <v>116</v>
      </c>
      <c r="E10" s="6" t="s">
        <v>116</v>
      </c>
      <c r="F10" s="6">
        <v>348</v>
      </c>
      <c r="G10" s="11">
        <v>0</v>
      </c>
      <c r="H10" s="12">
        <v>1.583</v>
      </c>
      <c r="I10" s="13">
        <f t="shared" si="1"/>
        <v>219.83575489576754</v>
      </c>
    </row>
    <row r="11" spans="1:12">
      <c r="A11" s="5" t="s">
        <v>121</v>
      </c>
      <c r="B11" s="10" t="s">
        <v>119</v>
      </c>
      <c r="C11" s="6" t="s">
        <v>116</v>
      </c>
      <c r="D11" s="6" t="s">
        <v>116</v>
      </c>
      <c r="E11" s="6" t="s">
        <v>116</v>
      </c>
      <c r="F11" s="6">
        <v>311</v>
      </c>
      <c r="G11" s="11">
        <v>0</v>
      </c>
      <c r="H11" s="12">
        <v>1.3560000000000001</v>
      </c>
      <c r="I11" s="13">
        <f t="shared" si="1"/>
        <v>229.35103244837757</v>
      </c>
    </row>
    <row r="12" spans="1:12">
      <c r="A12" s="5" t="s">
        <v>122</v>
      </c>
      <c r="B12" s="10" t="s">
        <v>113</v>
      </c>
      <c r="C12" s="6">
        <v>1.6559999999999999</v>
      </c>
      <c r="D12" s="6">
        <v>2.46</v>
      </c>
      <c r="E12" s="6">
        <v>2.665</v>
      </c>
      <c r="F12" s="6">
        <v>5.5819999999999999</v>
      </c>
      <c r="G12" s="11">
        <f t="shared" ref="G12:G13" si="3">(F12-C12)/C12/31</f>
        <v>7.6476546672900117E-2</v>
      </c>
      <c r="H12" s="12">
        <v>2.8519999999999999</v>
      </c>
      <c r="I12" s="13">
        <f t="shared" si="1"/>
        <v>1.9572230014025245</v>
      </c>
    </row>
    <row r="13" spans="1:12">
      <c r="A13" s="5" t="s">
        <v>123</v>
      </c>
      <c r="B13" s="10" t="s">
        <v>124</v>
      </c>
      <c r="C13" s="6">
        <v>337</v>
      </c>
      <c r="D13" s="6">
        <v>381</v>
      </c>
      <c r="E13" s="6">
        <v>399</v>
      </c>
      <c r="F13" s="6">
        <v>818</v>
      </c>
      <c r="G13" s="11">
        <f t="shared" si="3"/>
        <v>4.6041925911745003E-2</v>
      </c>
      <c r="H13" s="12">
        <v>8.9580000000000002</v>
      </c>
      <c r="I13" s="13">
        <f t="shared" si="1"/>
        <v>91.31502567537396</v>
      </c>
    </row>
    <row r="14" spans="1:12">
      <c r="A14" s="5" t="s">
        <v>125</v>
      </c>
      <c r="B14" s="10" t="s">
        <v>111</v>
      </c>
      <c r="C14" s="6" t="s">
        <v>116</v>
      </c>
      <c r="D14" s="6" t="s">
        <v>116</v>
      </c>
      <c r="E14" s="6" t="s">
        <v>116</v>
      </c>
      <c r="F14" s="6">
        <v>504</v>
      </c>
      <c r="G14" s="11">
        <v>0</v>
      </c>
      <c r="H14" s="12">
        <v>6.298</v>
      </c>
      <c r="I14" s="13">
        <f t="shared" si="1"/>
        <v>80.025404890441408</v>
      </c>
    </row>
    <row r="15" spans="1:12">
      <c r="A15" s="5" t="s">
        <v>126</v>
      </c>
      <c r="B15" s="10" t="s">
        <v>111</v>
      </c>
      <c r="C15" s="6">
        <v>51.814999999999998</v>
      </c>
      <c r="D15" s="6">
        <v>60.081000000000003</v>
      </c>
      <c r="E15" s="6">
        <v>63.225999999999999</v>
      </c>
      <c r="F15" s="6">
        <v>75.043000000000006</v>
      </c>
      <c r="G15" s="11">
        <f>(F15-C15)/C15/31</f>
        <v>1.4460876629945874E-2</v>
      </c>
      <c r="H15" s="12">
        <v>19.350000000000001</v>
      </c>
      <c r="I15" s="13">
        <f t="shared" si="1"/>
        <v>3.8781912144702844</v>
      </c>
    </row>
    <row r="16" spans="1:12">
      <c r="A16" s="5" t="s">
        <v>127</v>
      </c>
      <c r="B16" s="10" t="s">
        <v>119</v>
      </c>
      <c r="C16" s="6" t="s">
        <v>116</v>
      </c>
      <c r="D16" s="6" t="s">
        <v>116</v>
      </c>
      <c r="E16" s="6" t="s">
        <v>116</v>
      </c>
      <c r="F16" s="6">
        <v>217</v>
      </c>
      <c r="G16" s="11">
        <v>0</v>
      </c>
      <c r="H16" s="12">
        <v>1.036</v>
      </c>
      <c r="I16" s="13">
        <f t="shared" si="1"/>
        <v>209.45945945945945</v>
      </c>
    </row>
    <row r="17" spans="1:9">
      <c r="A17" s="5" t="s">
        <v>128</v>
      </c>
      <c r="B17" s="10" t="s">
        <v>129</v>
      </c>
      <c r="C17" s="6" t="s">
        <v>116</v>
      </c>
      <c r="D17" s="6">
        <v>1.492</v>
      </c>
      <c r="E17" s="6">
        <v>2.157</v>
      </c>
      <c r="F17" s="6">
        <v>11.545999999999999</v>
      </c>
      <c r="G17" s="11">
        <f t="shared" ref="G17:G18" si="4">(F17-D17)/D17/21</f>
        <v>0.32088599514872967</v>
      </c>
      <c r="H17" s="12">
        <v>3.6509999999999998</v>
      </c>
      <c r="I17" s="13">
        <f t="shared" si="1"/>
        <v>3.1624212544508352</v>
      </c>
    </row>
    <row r="18" spans="1:9">
      <c r="A18" s="5" t="s">
        <v>130</v>
      </c>
      <c r="B18" s="10" t="s">
        <v>105</v>
      </c>
      <c r="C18" s="6" t="s">
        <v>116</v>
      </c>
      <c r="D18" s="6">
        <v>242</v>
      </c>
      <c r="E18" s="6">
        <v>394</v>
      </c>
      <c r="F18" s="6">
        <v>835</v>
      </c>
      <c r="G18" s="11">
        <f t="shared" si="4"/>
        <v>0.11668634395907124</v>
      </c>
      <c r="H18" s="12">
        <v>1.5329999999999999</v>
      </c>
      <c r="I18" s="13">
        <f t="shared" si="1"/>
        <v>544.68362687540775</v>
      </c>
    </row>
    <row r="19" spans="1:9">
      <c r="A19" s="5" t="s">
        <v>131</v>
      </c>
      <c r="B19" s="10" t="s">
        <v>105</v>
      </c>
      <c r="C19" s="6" t="s">
        <v>116</v>
      </c>
      <c r="D19" s="6" t="s">
        <v>116</v>
      </c>
      <c r="E19" s="6" t="s">
        <v>116</v>
      </c>
      <c r="F19" s="6">
        <v>240</v>
      </c>
      <c r="G19" s="11">
        <v>0</v>
      </c>
      <c r="H19" s="12">
        <v>1.831</v>
      </c>
      <c r="I19" s="13">
        <f t="shared" si="1"/>
        <v>131.07591480065537</v>
      </c>
    </row>
    <row r="20" spans="1:9">
      <c r="A20" s="5" t="s">
        <v>132</v>
      </c>
      <c r="B20" s="10" t="s">
        <v>113</v>
      </c>
      <c r="C20" s="6" t="s">
        <v>116</v>
      </c>
      <c r="D20" s="6" t="s">
        <v>116</v>
      </c>
      <c r="E20" s="6" t="s">
        <v>116</v>
      </c>
      <c r="F20" s="6">
        <v>774</v>
      </c>
      <c r="G20" s="11">
        <v>0</v>
      </c>
      <c r="H20" s="12">
        <v>3.8359999999999999</v>
      </c>
      <c r="I20" s="13">
        <f t="shared" si="1"/>
        <v>201.77267987486965</v>
      </c>
    </row>
    <row r="21" spans="1:9">
      <c r="A21" s="5" t="s">
        <v>133</v>
      </c>
      <c r="B21" s="10" t="s">
        <v>134</v>
      </c>
      <c r="C21" s="6" t="s">
        <v>116</v>
      </c>
      <c r="D21" s="6" t="s">
        <v>116</v>
      </c>
      <c r="E21" s="6" t="s">
        <v>116</v>
      </c>
      <c r="F21" s="6">
        <v>1.1539999999999999</v>
      </c>
      <c r="G21" s="11">
        <v>0</v>
      </c>
      <c r="H21" s="12">
        <v>1.387</v>
      </c>
      <c r="I21" s="13">
        <f t="shared" si="1"/>
        <v>0.83201153568853636</v>
      </c>
    </row>
    <row r="22" spans="1:9">
      <c r="A22" s="5" t="s">
        <v>135</v>
      </c>
      <c r="B22" s="10" t="s">
        <v>136</v>
      </c>
      <c r="C22" s="6">
        <v>11.089</v>
      </c>
      <c r="D22" s="6">
        <v>12.996</v>
      </c>
      <c r="E22" s="6">
        <v>14.791</v>
      </c>
      <c r="F22" s="6">
        <v>20.050999999999998</v>
      </c>
      <c r="G22" s="11">
        <f>(F22-C22)/C22/31</f>
        <v>2.6070590151821473E-2</v>
      </c>
      <c r="H22" s="12">
        <v>5.6319999999999997</v>
      </c>
      <c r="I22" s="13">
        <f t="shared" si="1"/>
        <v>3.5601917613636362</v>
      </c>
    </row>
    <row r="23" spans="1:9">
      <c r="A23" s="5" t="s">
        <v>137</v>
      </c>
      <c r="B23" s="10" t="s">
        <v>138</v>
      </c>
      <c r="C23" s="6" t="s">
        <v>116</v>
      </c>
      <c r="D23" s="6" t="s">
        <v>116</v>
      </c>
      <c r="E23" s="6" t="s">
        <v>116</v>
      </c>
      <c r="F23" s="6">
        <v>1.96</v>
      </c>
      <c r="G23" s="11">
        <v>0</v>
      </c>
      <c r="H23" s="12">
        <v>3.056</v>
      </c>
      <c r="I23" s="13">
        <f t="shared" si="1"/>
        <v>0.6413612565445026</v>
      </c>
    </row>
    <row r="24" spans="1:9">
      <c r="A24" s="5" t="s">
        <v>139</v>
      </c>
      <c r="B24" s="10" t="s">
        <v>105</v>
      </c>
      <c r="C24" s="6" t="s">
        <v>116</v>
      </c>
      <c r="D24" s="6" t="s">
        <v>116</v>
      </c>
      <c r="E24" s="6" t="s">
        <v>116</v>
      </c>
      <c r="F24" s="6">
        <v>1.073</v>
      </c>
      <c r="G24" s="11">
        <v>0</v>
      </c>
      <c r="H24" s="12">
        <v>2.113</v>
      </c>
      <c r="I24" s="13">
        <f t="shared" si="1"/>
        <v>0.50780880265026029</v>
      </c>
    </row>
    <row r="25" spans="1:9">
      <c r="A25" s="5" t="s">
        <v>140</v>
      </c>
      <c r="B25" s="10" t="s">
        <v>111</v>
      </c>
      <c r="C25" s="6" t="s">
        <v>116</v>
      </c>
      <c r="D25" s="6" t="s">
        <v>116</v>
      </c>
      <c r="E25" s="6" t="s">
        <v>116</v>
      </c>
      <c r="F25" s="6">
        <v>329</v>
      </c>
      <c r="G25" s="11">
        <v>0</v>
      </c>
      <c r="H25" s="12">
        <v>4.4690000000000003</v>
      </c>
      <c r="I25" s="13">
        <f t="shared" si="1"/>
        <v>73.618259118371</v>
      </c>
    </row>
    <row r="26" spans="1:9">
      <c r="A26" s="5" t="s">
        <v>141</v>
      </c>
      <c r="B26" s="10" t="s">
        <v>94</v>
      </c>
      <c r="C26" s="6" t="s">
        <v>116</v>
      </c>
      <c r="D26" s="6">
        <v>970</v>
      </c>
      <c r="E26" s="6">
        <v>890</v>
      </c>
      <c r="F26" s="6">
        <v>1.3580000000000001</v>
      </c>
      <c r="G26" s="11">
        <f>(F26-D26)/D26/21</f>
        <v>-4.7552380952380957E-2</v>
      </c>
      <c r="H26" s="12">
        <v>3.9769999999999999</v>
      </c>
      <c r="I26" s="13">
        <f t="shared" si="1"/>
        <v>0.34146341463414637</v>
      </c>
    </row>
    <row r="27" spans="1:9">
      <c r="A27" s="5" t="s">
        <v>142</v>
      </c>
      <c r="B27" s="10" t="s">
        <v>107</v>
      </c>
      <c r="C27" s="6">
        <v>384</v>
      </c>
      <c r="D27" s="6">
        <v>458</v>
      </c>
      <c r="E27" s="6">
        <v>513</v>
      </c>
      <c r="F27" s="6">
        <v>1.0469999999999999</v>
      </c>
      <c r="G27" s="11">
        <f t="shared" ref="G27:G29" si="5">(F27-C27)/C27/31</f>
        <v>-3.2170110887096773E-2</v>
      </c>
      <c r="H27" s="12">
        <v>4.7220000000000004</v>
      </c>
      <c r="I27" s="13">
        <f t="shared" si="1"/>
        <v>0.22172808132147392</v>
      </c>
    </row>
    <row r="28" spans="1:9">
      <c r="A28" s="5" t="s">
        <v>143</v>
      </c>
      <c r="B28" s="10" t="s">
        <v>144</v>
      </c>
      <c r="C28" s="6">
        <v>6.093</v>
      </c>
      <c r="D28" s="6">
        <v>10.78</v>
      </c>
      <c r="E28" s="6">
        <v>14.728</v>
      </c>
      <c r="F28" s="6">
        <v>21.175999999999998</v>
      </c>
      <c r="G28" s="11">
        <f t="shared" si="5"/>
        <v>7.9853666026058451E-2</v>
      </c>
      <c r="H28" s="12">
        <v>5.0709999999999997</v>
      </c>
      <c r="I28" s="13">
        <f t="shared" si="1"/>
        <v>4.1759021889173731</v>
      </c>
    </row>
    <row r="29" spans="1:9">
      <c r="A29" s="5" t="s">
        <v>145</v>
      </c>
      <c r="B29" s="10" t="s">
        <v>138</v>
      </c>
      <c r="C29" s="6">
        <v>320</v>
      </c>
      <c r="D29" s="6">
        <v>428</v>
      </c>
      <c r="E29" s="6">
        <v>471</v>
      </c>
      <c r="F29" s="6">
        <v>1.0669999999999999</v>
      </c>
      <c r="G29" s="11">
        <f t="shared" si="5"/>
        <v>-3.2150504032258068E-2</v>
      </c>
      <c r="H29" s="12">
        <v>6.2670000000000003</v>
      </c>
      <c r="I29" s="13">
        <f t="shared" si="1"/>
        <v>0.17025690122865803</v>
      </c>
    </row>
    <row r="30" spans="1:9">
      <c r="A30" s="5" t="s">
        <v>146</v>
      </c>
      <c r="B30" s="10" t="s">
        <v>138</v>
      </c>
      <c r="C30" s="6" t="s">
        <v>116</v>
      </c>
      <c r="D30" s="6" t="s">
        <v>116</v>
      </c>
      <c r="E30" s="6" t="s">
        <v>116</v>
      </c>
      <c r="F30" s="6">
        <v>1.099</v>
      </c>
      <c r="G30" s="11">
        <v>0</v>
      </c>
      <c r="H30" s="12">
        <v>7.2030000000000003</v>
      </c>
      <c r="I30" s="13">
        <f t="shared" si="1"/>
        <v>0.15257531584062195</v>
      </c>
    </row>
    <row r="31" spans="1:9">
      <c r="A31" s="5" t="s">
        <v>147</v>
      </c>
      <c r="B31" s="10" t="s">
        <v>119</v>
      </c>
      <c r="C31" s="6">
        <v>506</v>
      </c>
      <c r="D31" s="6">
        <v>579</v>
      </c>
      <c r="E31" s="6">
        <v>632</v>
      </c>
      <c r="F31" s="6">
        <v>964</v>
      </c>
      <c r="G31" s="11">
        <f t="shared" ref="G31:G32" si="6">(F31-C31)/C31/31</f>
        <v>2.9198010965191892E-2</v>
      </c>
      <c r="H31" s="12">
        <v>3.26</v>
      </c>
      <c r="I31" s="13">
        <f t="shared" si="1"/>
        <v>295.70552147239266</v>
      </c>
    </row>
    <row r="32" spans="1:9">
      <c r="A32" s="5" t="s">
        <v>148</v>
      </c>
      <c r="B32" s="10" t="s">
        <v>111</v>
      </c>
      <c r="C32" s="6">
        <v>3.4590000000000001</v>
      </c>
      <c r="D32" s="6">
        <v>3.48</v>
      </c>
      <c r="E32" s="6">
        <v>5.0860000000000003</v>
      </c>
      <c r="F32" s="6">
        <v>6.3250000000000002</v>
      </c>
      <c r="G32" s="11">
        <f t="shared" si="6"/>
        <v>2.6727844146639434E-2</v>
      </c>
      <c r="H32" s="12">
        <v>1.6140000000000001</v>
      </c>
      <c r="I32" s="13">
        <f t="shared" si="1"/>
        <v>3.9188351920693925</v>
      </c>
    </row>
    <row r="33" spans="1:9">
      <c r="A33" s="5" t="s">
        <v>149</v>
      </c>
      <c r="B33" s="10" t="s">
        <v>109</v>
      </c>
      <c r="C33" s="6" t="s">
        <v>116</v>
      </c>
      <c r="D33" s="6" t="s">
        <v>116</v>
      </c>
      <c r="E33" s="6" t="s">
        <v>116</v>
      </c>
      <c r="F33" s="6">
        <v>249</v>
      </c>
      <c r="G33" s="11">
        <v>0</v>
      </c>
      <c r="H33" s="12">
        <v>7.093</v>
      </c>
      <c r="I33" s="13">
        <f t="shared" si="1"/>
        <v>35.105033131256171</v>
      </c>
    </row>
    <row r="34" spans="1:9">
      <c r="A34" s="5" t="s">
        <v>150</v>
      </c>
      <c r="B34" s="10" t="s">
        <v>109</v>
      </c>
      <c r="C34" s="6" t="s">
        <v>116</v>
      </c>
      <c r="D34" s="6" t="s">
        <v>116</v>
      </c>
      <c r="E34" s="6" t="s">
        <v>116</v>
      </c>
      <c r="F34" s="6">
        <v>157</v>
      </c>
      <c r="G34" s="11">
        <v>0</v>
      </c>
      <c r="H34" s="12">
        <v>4.2359999999999998</v>
      </c>
      <c r="I34" s="13">
        <f t="shared" si="1"/>
        <v>37.063267233238903</v>
      </c>
    </row>
    <row r="35" spans="1:9">
      <c r="A35" s="5" t="s">
        <v>151</v>
      </c>
      <c r="B35" s="10" t="s">
        <v>109</v>
      </c>
      <c r="C35" s="6" t="s">
        <v>116</v>
      </c>
      <c r="D35" s="6" t="s">
        <v>116</v>
      </c>
      <c r="E35" s="6" t="s">
        <v>116</v>
      </c>
      <c r="F35" s="6">
        <v>9</v>
      </c>
      <c r="G35" s="11">
        <v>0</v>
      </c>
      <c r="H35" s="12">
        <v>3.2440000000000002</v>
      </c>
      <c r="I35" s="13">
        <f t="shared" si="1"/>
        <v>2.7743526510480887</v>
      </c>
    </row>
    <row r="36" spans="1:9">
      <c r="A36" s="5" t="s">
        <v>152</v>
      </c>
      <c r="B36" s="10" t="s">
        <v>109</v>
      </c>
      <c r="C36" s="6" t="s">
        <v>116</v>
      </c>
      <c r="D36" s="6" t="s">
        <v>116</v>
      </c>
      <c r="E36" s="6" t="s">
        <v>116</v>
      </c>
      <c r="F36" s="6">
        <v>152</v>
      </c>
      <c r="G36" s="11">
        <v>0</v>
      </c>
      <c r="H36" s="12">
        <v>1.4770000000000001</v>
      </c>
      <c r="I36" s="13">
        <f t="shared" si="1"/>
        <v>102.91130670277589</v>
      </c>
    </row>
    <row r="37" spans="1:9">
      <c r="A37" s="5" t="s">
        <v>153</v>
      </c>
      <c r="B37" s="10" t="s">
        <v>109</v>
      </c>
      <c r="C37" s="6" t="s">
        <v>116</v>
      </c>
      <c r="D37" s="6" t="s">
        <v>116</v>
      </c>
      <c r="E37" s="6" t="s">
        <v>116</v>
      </c>
      <c r="F37" s="6">
        <v>328</v>
      </c>
      <c r="G37" s="11">
        <v>0</v>
      </c>
      <c r="H37" s="12">
        <v>1.6990000000000001</v>
      </c>
      <c r="I37" s="13">
        <f t="shared" si="1"/>
        <v>193.05473808122423</v>
      </c>
    </row>
    <row r="38" spans="1:9">
      <c r="A38" s="5" t="s">
        <v>154</v>
      </c>
      <c r="B38" s="10" t="s">
        <v>111</v>
      </c>
      <c r="C38" s="6" t="s">
        <v>116</v>
      </c>
      <c r="D38" s="6">
        <v>782</v>
      </c>
      <c r="E38" s="6">
        <v>909</v>
      </c>
      <c r="F38" s="6">
        <v>1.181</v>
      </c>
      <c r="G38" s="11" t="e">
        <f t="shared" ref="G38:G39" si="7">(F38-C38)/C38/31</f>
        <v>#VALUE!</v>
      </c>
      <c r="H38" s="12">
        <v>3.8279999999999998</v>
      </c>
      <c r="I38" s="13">
        <f t="shared" si="1"/>
        <v>0.30851619644723094</v>
      </c>
    </row>
    <row r="39" spans="1:9">
      <c r="A39" s="5" t="s">
        <v>155</v>
      </c>
      <c r="B39" s="10" t="s">
        <v>113</v>
      </c>
      <c r="C39" s="6">
        <v>37.853000000000002</v>
      </c>
      <c r="D39" s="6">
        <v>45.988999999999997</v>
      </c>
      <c r="E39" s="6">
        <v>49.781999999999996</v>
      </c>
      <c r="F39" s="6">
        <v>55.912999999999997</v>
      </c>
      <c r="G39" s="11">
        <f t="shared" si="7"/>
        <v>1.5390606957474708E-2</v>
      </c>
      <c r="H39" s="12">
        <v>12.73</v>
      </c>
      <c r="I39" s="13">
        <f t="shared" si="1"/>
        <v>4.3922230950510599</v>
      </c>
    </row>
    <row r="40" spans="1:9">
      <c r="A40" s="5" t="s">
        <v>156</v>
      </c>
      <c r="B40" s="10" t="s">
        <v>136</v>
      </c>
      <c r="C40" s="6" t="s">
        <v>116</v>
      </c>
      <c r="D40" s="6" t="s">
        <v>116</v>
      </c>
      <c r="E40" s="6" t="s">
        <v>116</v>
      </c>
      <c r="F40" s="6">
        <v>263</v>
      </c>
      <c r="G40" s="11">
        <v>0</v>
      </c>
      <c r="H40" s="12">
        <v>5.0709999999999997</v>
      </c>
      <c r="I40" s="13">
        <f t="shared" si="1"/>
        <v>51.863537763754685</v>
      </c>
    </row>
    <row r="41" spans="1:9">
      <c r="A41" s="5" t="s">
        <v>157</v>
      </c>
      <c r="B41" s="10" t="s">
        <v>111</v>
      </c>
      <c r="C41" s="6">
        <v>6.218</v>
      </c>
      <c r="D41" s="6">
        <v>7.7759999999999998</v>
      </c>
      <c r="E41" s="6">
        <v>8.8279999999999994</v>
      </c>
      <c r="F41" s="6">
        <v>10.613</v>
      </c>
      <c r="G41" s="11">
        <f>(F41-C41)/C41/31</f>
        <v>2.2800610091409955E-2</v>
      </c>
      <c r="H41" s="12">
        <v>2.6520000000000001</v>
      </c>
      <c r="I41" s="13">
        <f t="shared" si="1"/>
        <v>4.0018853695324283</v>
      </c>
    </row>
    <row r="42" spans="1:9">
      <c r="A42" s="5" t="s">
        <v>158</v>
      </c>
      <c r="B42" s="10" t="s">
        <v>115</v>
      </c>
      <c r="C42" s="6" t="s">
        <v>116</v>
      </c>
      <c r="D42" s="6" t="s">
        <v>116</v>
      </c>
      <c r="E42" s="6" t="s">
        <v>116</v>
      </c>
      <c r="F42" s="6">
        <v>552</v>
      </c>
      <c r="G42" s="11">
        <v>0</v>
      </c>
      <c r="H42" s="12">
        <v>1.7589999999999999</v>
      </c>
      <c r="I42" s="13">
        <f t="shared" si="1"/>
        <v>313.81466742467313</v>
      </c>
    </row>
    <row r="43" spans="1:9">
      <c r="A43" s="5" t="s">
        <v>159</v>
      </c>
      <c r="B43" s="10" t="s">
        <v>111</v>
      </c>
      <c r="C43" s="6">
        <v>369</v>
      </c>
      <c r="D43" s="6">
        <v>466</v>
      </c>
      <c r="E43" s="6">
        <v>613</v>
      </c>
      <c r="F43" s="6">
        <v>970</v>
      </c>
      <c r="G43" s="11">
        <f t="shared" ref="G43:G44" si="8">(F43-C43)/C43/31</f>
        <v>5.2539557653641059E-2</v>
      </c>
      <c r="H43" s="12">
        <v>6.5170000000000003</v>
      </c>
      <c r="I43" s="13">
        <f t="shared" si="1"/>
        <v>148.84149148381155</v>
      </c>
    </row>
    <row r="44" spans="1:9">
      <c r="A44" s="5" t="s">
        <v>160</v>
      </c>
      <c r="B44" s="10" t="s">
        <v>134</v>
      </c>
      <c r="C44" s="6" t="s">
        <v>116</v>
      </c>
      <c r="D44" s="6">
        <v>626</v>
      </c>
      <c r="E44" s="6">
        <v>865</v>
      </c>
      <c r="F44" s="6">
        <v>2.77</v>
      </c>
      <c r="G44" s="11" t="e">
        <f t="shared" si="8"/>
        <v>#VALUE!</v>
      </c>
      <c r="H44" s="12">
        <v>8.7940000000000005</v>
      </c>
      <c r="I44" s="13">
        <f t="shared" si="1"/>
        <v>0.31498749147145777</v>
      </c>
    </row>
    <row r="45" spans="1:9">
      <c r="A45" s="5" t="s">
        <v>161</v>
      </c>
      <c r="B45" s="10" t="s">
        <v>105</v>
      </c>
      <c r="C45" s="6" t="s">
        <v>116</v>
      </c>
      <c r="D45" s="6" t="s">
        <v>116</v>
      </c>
      <c r="E45" s="6" t="s">
        <v>116</v>
      </c>
      <c r="F45" s="6">
        <v>317</v>
      </c>
      <c r="G45" s="11">
        <v>0</v>
      </c>
      <c r="H45" s="12">
        <v>7.8659999999999997</v>
      </c>
      <c r="I45" s="13">
        <f t="shared" si="1"/>
        <v>40.300025425883554</v>
      </c>
    </row>
    <row r="46" spans="1:9">
      <c r="A46" s="5" t="s">
        <v>162</v>
      </c>
      <c r="B46" s="10" t="s">
        <v>107</v>
      </c>
      <c r="C46" s="6" t="s">
        <v>116</v>
      </c>
      <c r="D46" s="6" t="s">
        <v>116</v>
      </c>
      <c r="E46" s="6" t="s">
        <v>116</v>
      </c>
      <c r="F46" s="6">
        <v>963</v>
      </c>
      <c r="G46" s="11">
        <v>0</v>
      </c>
      <c r="H46" s="12">
        <v>3.601</v>
      </c>
      <c r="I46" s="13">
        <f t="shared" si="1"/>
        <v>267.42571507914471</v>
      </c>
    </row>
    <row r="47" spans="1:9">
      <c r="A47" s="5" t="s">
        <v>163</v>
      </c>
      <c r="B47" s="10" t="s">
        <v>111</v>
      </c>
      <c r="C47" s="6" t="s">
        <v>116</v>
      </c>
      <c r="D47" s="6" t="s">
        <v>116</v>
      </c>
      <c r="E47" s="6" t="s">
        <v>116</v>
      </c>
      <c r="F47" s="6">
        <v>1.07</v>
      </c>
      <c r="G47" s="11">
        <v>0</v>
      </c>
      <c r="H47" s="12">
        <v>2.073</v>
      </c>
      <c r="I47" s="13">
        <f t="shared" si="1"/>
        <v>0.51616015436565366</v>
      </c>
    </row>
    <row r="48" spans="1:9">
      <c r="A48" s="5" t="s">
        <v>164</v>
      </c>
      <c r="B48" s="10" t="s">
        <v>105</v>
      </c>
      <c r="C48" s="6">
        <v>1.3959999999999999</v>
      </c>
      <c r="D48" s="6">
        <v>1.974</v>
      </c>
      <c r="E48" s="6">
        <v>2.395</v>
      </c>
      <c r="F48" s="6">
        <v>4.5170000000000003</v>
      </c>
      <c r="G48" s="11">
        <f>(F48-C48)/C48/31</f>
        <v>7.211849523985582E-2</v>
      </c>
      <c r="H48" s="12">
        <v>1.772</v>
      </c>
      <c r="I48" s="13">
        <f t="shared" si="1"/>
        <v>2.5490970654627541</v>
      </c>
    </row>
    <row r="49" spans="1:9">
      <c r="A49" s="5" t="s">
        <v>165</v>
      </c>
      <c r="B49" s="10" t="s">
        <v>115</v>
      </c>
      <c r="C49" s="6" t="s">
        <v>116</v>
      </c>
      <c r="D49" s="6" t="s">
        <v>116</v>
      </c>
      <c r="E49" s="6" t="s">
        <v>116</v>
      </c>
      <c r="F49" s="6">
        <v>616</v>
      </c>
      <c r="G49" s="11">
        <v>0</v>
      </c>
      <c r="H49" s="12">
        <v>4.274</v>
      </c>
      <c r="I49" s="13">
        <f t="shared" si="1"/>
        <v>144.1272812353767</v>
      </c>
    </row>
    <row r="50" spans="1:9">
      <c r="A50" s="5" t="s">
        <v>166</v>
      </c>
      <c r="B50" s="10" t="s">
        <v>111</v>
      </c>
      <c r="C50" s="6" t="s">
        <v>116</v>
      </c>
      <c r="D50" s="6" t="s">
        <v>116</v>
      </c>
      <c r="E50" s="6" t="s">
        <v>116</v>
      </c>
      <c r="F50" s="6">
        <v>541</v>
      </c>
      <c r="G50" s="11">
        <v>0</v>
      </c>
      <c r="H50" s="12">
        <v>6.556</v>
      </c>
      <c r="I50" s="13">
        <f t="shared" si="1"/>
        <v>82.519829164124459</v>
      </c>
    </row>
    <row r="51" spans="1:9">
      <c r="A51" s="5" t="s">
        <v>167</v>
      </c>
      <c r="B51" s="10" t="s">
        <v>111</v>
      </c>
      <c r="C51" s="6" t="s">
        <v>116</v>
      </c>
      <c r="D51" s="6" t="s">
        <v>116</v>
      </c>
      <c r="E51" s="6" t="s">
        <v>116</v>
      </c>
      <c r="F51" s="6">
        <v>905</v>
      </c>
      <c r="G51" s="11">
        <v>0</v>
      </c>
      <c r="H51" s="12">
        <v>1.1499999999999999</v>
      </c>
      <c r="I51" s="13">
        <f t="shared" si="1"/>
        <v>786.95652173913049</v>
      </c>
    </row>
    <row r="52" spans="1:9">
      <c r="A52" s="5" t="s">
        <v>168</v>
      </c>
      <c r="B52" s="10" t="s">
        <v>129</v>
      </c>
      <c r="C52" s="6">
        <v>10.125999999999999</v>
      </c>
      <c r="D52" s="6">
        <v>12.57</v>
      </c>
      <c r="E52" s="6">
        <v>14.582000000000001</v>
      </c>
      <c r="F52" s="6">
        <v>21.053000000000001</v>
      </c>
      <c r="G52" s="11">
        <f>(F52-C52)/C52/31</f>
        <v>3.480978382063421E-2</v>
      </c>
      <c r="H52" s="12">
        <v>67.180000000000007</v>
      </c>
      <c r="I52" s="13">
        <f t="shared" si="1"/>
        <v>0.31338195891634413</v>
      </c>
    </row>
    <row r="53" spans="1:9">
      <c r="A53" s="5" t="s">
        <v>169</v>
      </c>
      <c r="B53" s="10" t="s">
        <v>113</v>
      </c>
      <c r="C53" s="6" t="s">
        <v>116</v>
      </c>
      <c r="D53" s="6" t="s">
        <v>116</v>
      </c>
      <c r="E53" s="6" t="s">
        <v>116</v>
      </c>
      <c r="F53" s="6">
        <v>1.242</v>
      </c>
      <c r="G53" s="11">
        <v>0</v>
      </c>
      <c r="H53" s="12">
        <v>8.7210000000000001</v>
      </c>
      <c r="I53" s="13">
        <f t="shared" si="1"/>
        <v>0.14241486068111456</v>
      </c>
    </row>
    <row r="54" spans="1:9">
      <c r="A54" s="5" t="s">
        <v>170</v>
      </c>
      <c r="B54" s="10" t="s">
        <v>119</v>
      </c>
      <c r="C54" s="6">
        <v>1.286</v>
      </c>
      <c r="D54" s="6">
        <v>1.655</v>
      </c>
      <c r="E54" s="6">
        <v>1.9059999999999999</v>
      </c>
      <c r="F54" s="6">
        <v>4.6130000000000004</v>
      </c>
      <c r="G54" s="11">
        <f>(F54-C54)/C54/31</f>
        <v>8.3454572818943473E-2</v>
      </c>
      <c r="H54" s="12">
        <v>13.83</v>
      </c>
      <c r="I54" s="13">
        <f t="shared" si="1"/>
        <v>0.33355025307302966</v>
      </c>
    </row>
    <row r="55" spans="1:9">
      <c r="A55" s="5" t="s">
        <v>171</v>
      </c>
      <c r="B55" s="10" t="s">
        <v>111</v>
      </c>
      <c r="C55" s="6" t="s">
        <v>116</v>
      </c>
      <c r="D55" s="6" t="s">
        <v>116</v>
      </c>
      <c r="E55" s="6" t="s">
        <v>116</v>
      </c>
      <c r="F55" s="6">
        <v>477</v>
      </c>
      <c r="G55" s="11">
        <v>0</v>
      </c>
      <c r="H55" s="12">
        <v>9.173</v>
      </c>
      <c r="I55" s="13">
        <f t="shared" si="1"/>
        <v>52.000436062356918</v>
      </c>
    </row>
    <row r="56" spans="1:9">
      <c r="A56" s="5" t="s">
        <v>172</v>
      </c>
      <c r="B56" s="10" t="s">
        <v>105</v>
      </c>
      <c r="C56" s="6" t="s">
        <v>116</v>
      </c>
      <c r="D56" s="6">
        <v>154</v>
      </c>
      <c r="E56" s="6">
        <v>238</v>
      </c>
      <c r="F56" s="6">
        <v>396</v>
      </c>
      <c r="G56" s="11" t="e">
        <f>(F56-C56)/C56/31</f>
        <v>#VALUE!</v>
      </c>
      <c r="H56" s="12">
        <v>2.4590000000000001</v>
      </c>
      <c r="I56" s="13">
        <f t="shared" si="1"/>
        <v>161.04107360715739</v>
      </c>
    </row>
    <row r="57" spans="1:9">
      <c r="A57" s="5" t="s">
        <v>173</v>
      </c>
      <c r="B57" s="10" t="s">
        <v>109</v>
      </c>
      <c r="C57" s="6" t="s">
        <v>116</v>
      </c>
      <c r="D57" s="6" t="s">
        <v>116</v>
      </c>
      <c r="E57" s="6" t="s">
        <v>116</v>
      </c>
      <c r="F57" s="6">
        <v>650</v>
      </c>
      <c r="G57" s="11">
        <v>0</v>
      </c>
      <c r="H57" s="12">
        <v>1.869</v>
      </c>
      <c r="I57" s="13">
        <f t="shared" si="1"/>
        <v>347.77956126270732</v>
      </c>
    </row>
    <row r="58" spans="1:9">
      <c r="A58" s="5" t="s">
        <v>174</v>
      </c>
      <c r="B58" s="10" t="s">
        <v>136</v>
      </c>
      <c r="C58" s="6" t="s">
        <v>116</v>
      </c>
      <c r="D58" s="6" t="s">
        <v>116</v>
      </c>
      <c r="E58" s="6" t="s">
        <v>116</v>
      </c>
      <c r="F58" s="6">
        <v>587</v>
      </c>
      <c r="G58" s="11">
        <v>0</v>
      </c>
      <c r="H58" s="12">
        <v>1.054</v>
      </c>
      <c r="I58" s="13">
        <f t="shared" si="1"/>
        <v>556.92599620493354</v>
      </c>
    </row>
    <row r="59" spans="1:9">
      <c r="A59" s="5" t="s">
        <v>175</v>
      </c>
      <c r="B59" s="10" t="s">
        <v>105</v>
      </c>
      <c r="C59" s="6" t="s">
        <v>116</v>
      </c>
      <c r="D59" s="6" t="s">
        <v>116</v>
      </c>
      <c r="E59" s="6" t="s">
        <v>116</v>
      </c>
      <c r="F59" s="6">
        <v>316</v>
      </c>
      <c r="G59" s="11">
        <v>0</v>
      </c>
      <c r="H59" s="12">
        <v>3.5790000000000002</v>
      </c>
      <c r="I59" s="13">
        <f t="shared" si="1"/>
        <v>88.29281922324671</v>
      </c>
    </row>
    <row r="60" spans="1:9">
      <c r="A60" s="5" t="s">
        <v>176</v>
      </c>
      <c r="B60" s="10" t="s">
        <v>105</v>
      </c>
      <c r="C60" s="6" t="s">
        <v>116</v>
      </c>
      <c r="D60" s="6" t="s">
        <v>116</v>
      </c>
      <c r="E60" s="6" t="s">
        <v>116</v>
      </c>
      <c r="F60" s="6">
        <v>590</v>
      </c>
      <c r="G60" s="11">
        <v>0</v>
      </c>
      <c r="H60" s="12">
        <v>3.2690000000000001</v>
      </c>
      <c r="I60" s="13">
        <f t="shared" si="1"/>
        <v>180.48332823493422</v>
      </c>
    </row>
    <row r="61" spans="1:9">
      <c r="A61" s="5" t="s">
        <v>177</v>
      </c>
      <c r="B61" s="10" t="s">
        <v>119</v>
      </c>
      <c r="C61" s="6" t="s">
        <v>116</v>
      </c>
      <c r="D61" s="6" t="s">
        <v>116</v>
      </c>
      <c r="E61" s="6" t="s">
        <v>116</v>
      </c>
      <c r="F61" s="6">
        <v>833</v>
      </c>
      <c r="G61" s="11">
        <v>0</v>
      </c>
      <c r="H61" s="12">
        <v>7.7190000000000003</v>
      </c>
      <c r="I61" s="13">
        <f t="shared" si="1"/>
        <v>107.9155331001425</v>
      </c>
    </row>
    <row r="62" spans="1:9">
      <c r="A62" s="5" t="s">
        <v>178</v>
      </c>
      <c r="B62" s="10" t="s">
        <v>115</v>
      </c>
      <c r="C62" s="6" t="s">
        <v>116</v>
      </c>
      <c r="D62" s="6" t="s">
        <v>116</v>
      </c>
      <c r="E62" s="6" t="s">
        <v>116</v>
      </c>
      <c r="F62" s="6">
        <v>1.4870000000000001</v>
      </c>
      <c r="G62" s="11">
        <v>0</v>
      </c>
      <c r="H62" s="12">
        <v>2.4780000000000002</v>
      </c>
      <c r="I62" s="13">
        <f t="shared" si="1"/>
        <v>0.60008071025020182</v>
      </c>
    </row>
    <row r="63" spans="1:9">
      <c r="A63" s="5" t="s">
        <v>179</v>
      </c>
      <c r="B63" s="10" t="s">
        <v>134</v>
      </c>
      <c r="C63" s="6" t="s">
        <v>116</v>
      </c>
      <c r="D63" s="6" t="s">
        <v>116</v>
      </c>
      <c r="E63" s="6" t="s">
        <v>116</v>
      </c>
      <c r="F63" s="6">
        <v>657</v>
      </c>
      <c r="G63" s="11">
        <v>0</v>
      </c>
      <c r="H63" s="12">
        <v>1.3919999999999999</v>
      </c>
      <c r="I63" s="13">
        <f t="shared" si="1"/>
        <v>471.98275862068971</v>
      </c>
    </row>
    <row r="64" spans="1:9">
      <c r="A64" s="5" t="s">
        <v>180</v>
      </c>
      <c r="B64" s="10" t="s">
        <v>105</v>
      </c>
      <c r="C64" s="6" t="s">
        <v>116</v>
      </c>
      <c r="D64" s="6" t="s">
        <v>116</v>
      </c>
      <c r="E64" s="6" t="s">
        <v>116</v>
      </c>
      <c r="F64" s="6">
        <v>642</v>
      </c>
      <c r="G64" s="11">
        <v>0</v>
      </c>
      <c r="H64" s="12">
        <v>1.4339999999999999</v>
      </c>
      <c r="I64" s="13">
        <f t="shared" si="1"/>
        <v>447.69874476987451</v>
      </c>
    </row>
    <row r="65" spans="1:9">
      <c r="A65" s="5" t="s">
        <v>181</v>
      </c>
      <c r="B65" s="10" t="s">
        <v>136</v>
      </c>
      <c r="C65" s="6" t="s">
        <v>116</v>
      </c>
      <c r="D65" s="6" t="s">
        <v>116</v>
      </c>
      <c r="E65" s="6" t="s">
        <v>116</v>
      </c>
      <c r="F65" s="6">
        <v>574</v>
      </c>
      <c r="G65" s="11">
        <v>0</v>
      </c>
      <c r="H65" s="12">
        <v>5.4950000000000001</v>
      </c>
      <c r="I65" s="13">
        <f t="shared" si="1"/>
        <v>104.45859872611464</v>
      </c>
    </row>
    <row r="66" spans="1:9">
      <c r="A66" s="5" t="s">
        <v>182</v>
      </c>
      <c r="B66" s="10" t="s">
        <v>136</v>
      </c>
      <c r="C66" s="6">
        <v>905</v>
      </c>
      <c r="D66" s="6">
        <v>1.2270000000000001</v>
      </c>
      <c r="E66" s="6">
        <v>1.3149999999999999</v>
      </c>
      <c r="F66" s="6">
        <v>2.2759999999999998</v>
      </c>
      <c r="G66" s="11">
        <f t="shared" ref="G66:G68" si="9">(F66-C66)/C66/31</f>
        <v>-3.2176938157191234E-2</v>
      </c>
      <c r="H66" s="12">
        <v>1.0489999999999999</v>
      </c>
      <c r="I66" s="13">
        <f t="shared" si="1"/>
        <v>2.1696854146806483</v>
      </c>
    </row>
    <row r="67" spans="1:9">
      <c r="A67" s="5" t="s">
        <v>183</v>
      </c>
      <c r="B67" s="10" t="s">
        <v>94</v>
      </c>
      <c r="C67" s="6">
        <v>17.821999999999999</v>
      </c>
      <c r="D67" s="6">
        <v>21.798999999999999</v>
      </c>
      <c r="E67" s="6">
        <v>24.065000000000001</v>
      </c>
      <c r="F67" s="6">
        <v>33.094999999999999</v>
      </c>
      <c r="G67" s="11">
        <f t="shared" si="9"/>
        <v>2.7644339544093746E-2</v>
      </c>
      <c r="H67" s="12">
        <v>10.220000000000001</v>
      </c>
      <c r="I67" s="13">
        <f t="shared" si="1"/>
        <v>3.2382583170254402</v>
      </c>
    </row>
    <row r="68" spans="1:9">
      <c r="A68" s="5" t="s">
        <v>184</v>
      </c>
      <c r="B68" s="10" t="s">
        <v>105</v>
      </c>
      <c r="C68" s="6">
        <v>1.8069999999999999</v>
      </c>
      <c r="D68" s="6">
        <v>2.3530000000000002</v>
      </c>
      <c r="E68" s="6">
        <v>3.0590000000000002</v>
      </c>
      <c r="F68" s="6">
        <v>3.5960000000000001</v>
      </c>
      <c r="G68" s="11">
        <f t="shared" si="9"/>
        <v>3.1936733491618616E-2</v>
      </c>
      <c r="H68" s="12">
        <v>1.0840000000000001</v>
      </c>
      <c r="I68" s="13">
        <f t="shared" si="1"/>
        <v>3.317343173431734</v>
      </c>
    </row>
    <row r="69" spans="1:9">
      <c r="A69" s="5" t="s">
        <v>185</v>
      </c>
      <c r="B69" s="10" t="s">
        <v>113</v>
      </c>
      <c r="C69" s="6" t="s">
        <v>116</v>
      </c>
      <c r="D69" s="6" t="s">
        <v>116</v>
      </c>
      <c r="E69" s="6" t="s">
        <v>116</v>
      </c>
      <c r="F69" s="6">
        <v>603</v>
      </c>
      <c r="G69" s="11">
        <v>0</v>
      </c>
      <c r="H69" s="12">
        <v>1.306</v>
      </c>
      <c r="I69" s="13">
        <f t="shared" si="1"/>
        <v>461.71516079632465</v>
      </c>
    </row>
    <row r="70" spans="1:9">
      <c r="A70" s="5" t="s">
        <v>186</v>
      </c>
      <c r="B70" s="10" t="s">
        <v>113</v>
      </c>
      <c r="C70" s="6" t="s">
        <v>116</v>
      </c>
      <c r="D70" s="6" t="s">
        <v>116</v>
      </c>
      <c r="E70" s="6" t="s">
        <v>116</v>
      </c>
      <c r="F70" s="6">
        <v>1.1060000000000001</v>
      </c>
      <c r="G70" s="11">
        <v>0</v>
      </c>
      <c r="H70" s="12">
        <v>1.788</v>
      </c>
      <c r="I70" s="13">
        <f t="shared" si="1"/>
        <v>0.61856823266219241</v>
      </c>
    </row>
    <row r="71" spans="1:9">
      <c r="A71" s="5" t="s">
        <v>187</v>
      </c>
      <c r="B71" s="10" t="s">
        <v>113</v>
      </c>
      <c r="C71" s="6" t="s">
        <v>116</v>
      </c>
      <c r="D71" s="6" t="s">
        <v>116</v>
      </c>
      <c r="E71" s="6" t="s">
        <v>116</v>
      </c>
      <c r="F71" s="6">
        <v>571</v>
      </c>
      <c r="G71" s="11">
        <v>0</v>
      </c>
      <c r="H71" s="12">
        <v>2.3679999999999999</v>
      </c>
      <c r="I71" s="13">
        <f t="shared" si="1"/>
        <v>241.13175675675677</v>
      </c>
    </row>
    <row r="72" spans="1:9">
      <c r="A72" s="5" t="s">
        <v>188</v>
      </c>
      <c r="B72" s="10" t="s">
        <v>105</v>
      </c>
      <c r="C72" s="6">
        <v>363</v>
      </c>
      <c r="D72" s="6">
        <v>359</v>
      </c>
      <c r="E72" s="6">
        <v>471</v>
      </c>
      <c r="F72" s="6">
        <v>933</v>
      </c>
      <c r="G72" s="11">
        <f t="shared" ref="G72:G73" si="10">(F72-C72)/C72/31</f>
        <v>5.0653159157557991E-2</v>
      </c>
      <c r="H72" s="12">
        <v>1.19</v>
      </c>
      <c r="I72" s="13">
        <f t="shared" si="1"/>
        <v>784.03361344537814</v>
      </c>
    </row>
    <row r="73" spans="1:9">
      <c r="A73" s="5" t="s">
        <v>189</v>
      </c>
      <c r="B73" s="10" t="s">
        <v>190</v>
      </c>
      <c r="C73" s="6">
        <v>1.4770000000000001</v>
      </c>
      <c r="D73" s="6">
        <v>1.99</v>
      </c>
      <c r="E73" s="6">
        <v>2.375</v>
      </c>
      <c r="F73" s="6">
        <v>4.0650000000000004</v>
      </c>
      <c r="G73" s="11">
        <f t="shared" si="10"/>
        <v>5.6522593749317486E-2</v>
      </c>
      <c r="H73" s="12">
        <v>1.5649999999999999</v>
      </c>
      <c r="I73" s="13">
        <f t="shared" si="1"/>
        <v>2.5974440894568693</v>
      </c>
    </row>
    <row r="74" spans="1:9">
      <c r="A74" s="5" t="s">
        <v>191</v>
      </c>
      <c r="B74" s="10" t="s">
        <v>115</v>
      </c>
      <c r="C74" s="6" t="s">
        <v>116</v>
      </c>
      <c r="D74" s="6" t="s">
        <v>116</v>
      </c>
      <c r="E74" s="6" t="s">
        <v>116</v>
      </c>
      <c r="F74" s="6">
        <v>588</v>
      </c>
      <c r="G74" s="11">
        <v>0</v>
      </c>
      <c r="H74" s="12">
        <v>4.6660000000000004</v>
      </c>
      <c r="I74" s="13">
        <f t="shared" si="1"/>
        <v>126.01800257179596</v>
      </c>
    </row>
    <row r="75" spans="1:9">
      <c r="A75" s="5" t="s">
        <v>192</v>
      </c>
      <c r="B75" s="10" t="s">
        <v>115</v>
      </c>
      <c r="C75" s="6" t="s">
        <v>116</v>
      </c>
      <c r="D75" s="6" t="s">
        <v>116</v>
      </c>
      <c r="E75" s="6" t="s">
        <v>116</v>
      </c>
      <c r="F75" s="6">
        <v>237</v>
      </c>
      <c r="G75" s="11">
        <v>0</v>
      </c>
      <c r="H75" s="12">
        <v>2.266</v>
      </c>
      <c r="I75" s="13">
        <f t="shared" si="1"/>
        <v>104.58958517210944</v>
      </c>
    </row>
    <row r="76" spans="1:9">
      <c r="A76" s="5" t="s">
        <v>193</v>
      </c>
      <c r="B76" s="10" t="s">
        <v>113</v>
      </c>
      <c r="C76" s="6" t="s">
        <v>116</v>
      </c>
      <c r="D76" s="6">
        <v>765</v>
      </c>
      <c r="E76" s="6">
        <v>466</v>
      </c>
      <c r="F76" s="6">
        <v>522</v>
      </c>
      <c r="G76" s="11" t="e">
        <f t="shared" ref="G76:G78" si="11">(F76-C76)/C76/31</f>
        <v>#VALUE!</v>
      </c>
      <c r="H76" s="12">
        <v>2.0270000000000001</v>
      </c>
      <c r="I76" s="13">
        <f t="shared" si="1"/>
        <v>257.52343364578195</v>
      </c>
    </row>
    <row r="77" spans="1:9">
      <c r="A77" s="5" t="s">
        <v>194</v>
      </c>
      <c r="B77" s="10" t="s">
        <v>94</v>
      </c>
      <c r="C77" s="6">
        <v>177</v>
      </c>
      <c r="D77" s="6">
        <v>53</v>
      </c>
      <c r="E77" s="6">
        <v>13</v>
      </c>
      <c r="F77" s="6">
        <v>75</v>
      </c>
      <c r="G77" s="11">
        <f t="shared" si="11"/>
        <v>-1.8589393110989613E-2</v>
      </c>
      <c r="H77" s="12">
        <v>6.0030000000000001</v>
      </c>
      <c r="I77" s="13">
        <f t="shared" si="1"/>
        <v>12.49375312343828</v>
      </c>
    </row>
    <row r="78" spans="1:9">
      <c r="A78" s="5" t="s">
        <v>195</v>
      </c>
      <c r="B78" s="10" t="s">
        <v>196</v>
      </c>
      <c r="C78" s="6">
        <v>14.446</v>
      </c>
      <c r="D78" s="6">
        <v>17.263000000000002</v>
      </c>
      <c r="E78" s="6">
        <v>18.43</v>
      </c>
      <c r="F78" s="6">
        <v>27.344999999999999</v>
      </c>
      <c r="G78" s="11">
        <f t="shared" si="11"/>
        <v>2.8803597825941323E-2</v>
      </c>
      <c r="H78" s="12" t="s">
        <v>197</v>
      </c>
      <c r="I78" s="13" t="e">
        <f t="shared" si="1"/>
        <v>#VALUE!</v>
      </c>
    </row>
    <row r="79" spans="1:9">
      <c r="A79" s="5" t="s">
        <v>198</v>
      </c>
      <c r="B79" s="10" t="s">
        <v>105</v>
      </c>
      <c r="C79" s="6" t="s">
        <v>116</v>
      </c>
      <c r="D79" s="6" t="s">
        <v>116</v>
      </c>
      <c r="E79" s="6" t="s">
        <v>116</v>
      </c>
      <c r="F79" s="6">
        <v>302</v>
      </c>
      <c r="G79" s="11">
        <v>0</v>
      </c>
      <c r="H79" s="12">
        <v>6.1239999999999997</v>
      </c>
      <c r="I79" s="13">
        <f t="shared" si="1"/>
        <v>49.314173742651867</v>
      </c>
    </row>
    <row r="80" spans="1:9">
      <c r="A80" s="5" t="s">
        <v>199</v>
      </c>
      <c r="B80" s="10" t="s">
        <v>105</v>
      </c>
      <c r="C80" s="6" t="s">
        <v>116</v>
      </c>
      <c r="D80" s="6" t="s">
        <v>116</v>
      </c>
      <c r="E80" s="6" t="s">
        <v>116</v>
      </c>
      <c r="F80" s="6">
        <v>448</v>
      </c>
      <c r="G80" s="11">
        <v>0</v>
      </c>
      <c r="H80" s="12">
        <v>5.52</v>
      </c>
      <c r="I80" s="13">
        <f t="shared" si="1"/>
        <v>81.159420289855078</v>
      </c>
    </row>
    <row r="81" spans="1:9">
      <c r="A81" s="5" t="s">
        <v>200</v>
      </c>
      <c r="B81" s="10" t="s">
        <v>190</v>
      </c>
      <c r="C81" s="6" t="s">
        <v>116</v>
      </c>
      <c r="D81" s="6" t="s">
        <v>116</v>
      </c>
      <c r="E81" s="6" t="s">
        <v>116</v>
      </c>
      <c r="F81" s="6">
        <v>525</v>
      </c>
      <c r="G81" s="11">
        <v>0</v>
      </c>
      <c r="H81" s="12">
        <v>2.5859999999999999</v>
      </c>
      <c r="I81" s="13">
        <f t="shared" si="1"/>
        <v>203.01624129930394</v>
      </c>
    </row>
    <row r="82" spans="1:9">
      <c r="A82" s="5" t="s">
        <v>201</v>
      </c>
      <c r="B82" s="10" t="s">
        <v>115</v>
      </c>
      <c r="C82" s="6">
        <v>4.1070000000000002</v>
      </c>
      <c r="D82" s="6">
        <v>5.6369999999999996</v>
      </c>
      <c r="E82" s="6">
        <v>6.5780000000000003</v>
      </c>
      <c r="F82" s="6">
        <v>8.5619999999999994</v>
      </c>
      <c r="G82" s="11">
        <f>(F82-C82)/C82/31</f>
        <v>3.4991399420344488E-2</v>
      </c>
      <c r="H82" s="12">
        <v>3.6339999999999999</v>
      </c>
      <c r="I82" s="13">
        <f t="shared" si="1"/>
        <v>2.3560814529444136</v>
      </c>
    </row>
    <row r="83" spans="1:9">
      <c r="A83" s="5" t="s">
        <v>202</v>
      </c>
      <c r="B83" s="10" t="s">
        <v>119</v>
      </c>
      <c r="C83" s="6" t="s">
        <v>116</v>
      </c>
      <c r="D83" s="6" t="s">
        <v>116</v>
      </c>
      <c r="E83" s="6" t="s">
        <v>116</v>
      </c>
      <c r="F83" s="6">
        <v>260</v>
      </c>
      <c r="G83" s="11">
        <v>0</v>
      </c>
      <c r="H83" s="12">
        <v>1.218</v>
      </c>
      <c r="I83" s="13">
        <f t="shared" si="1"/>
        <v>213.46469622331691</v>
      </c>
    </row>
    <row r="84" spans="1:9">
      <c r="A84" s="5" t="s">
        <v>203</v>
      </c>
      <c r="B84" s="10" t="s">
        <v>105</v>
      </c>
      <c r="C84" s="6" t="s">
        <v>116</v>
      </c>
      <c r="D84" s="6" t="s">
        <v>116</v>
      </c>
      <c r="E84" s="6" t="s">
        <v>116</v>
      </c>
      <c r="F84" s="6">
        <v>480</v>
      </c>
      <c r="G84" s="11">
        <v>0</v>
      </c>
      <c r="H84" s="12">
        <v>3.4860000000000002</v>
      </c>
      <c r="I84" s="13">
        <f t="shared" si="1"/>
        <v>137.69363166953528</v>
      </c>
    </row>
    <row r="85" spans="1:9">
      <c r="A85" s="5" t="s">
        <v>204</v>
      </c>
      <c r="B85" s="10" t="s">
        <v>134</v>
      </c>
      <c r="C85" s="6" t="s">
        <v>116</v>
      </c>
      <c r="D85" s="6" t="s">
        <v>116</v>
      </c>
      <c r="E85" s="6" t="s">
        <v>116</v>
      </c>
      <c r="F85" s="6">
        <v>1.581</v>
      </c>
      <c r="G85" s="11">
        <v>0</v>
      </c>
      <c r="H85" s="12">
        <v>2.6709999999999998</v>
      </c>
      <c r="I85" s="13">
        <f t="shared" si="1"/>
        <v>0.59191314114563831</v>
      </c>
    </row>
    <row r="86" spans="1:9">
      <c r="A86" s="5" t="s">
        <v>205</v>
      </c>
      <c r="B86" s="10" t="s">
        <v>111</v>
      </c>
      <c r="C86" s="6">
        <v>4.3140000000000001</v>
      </c>
      <c r="D86" s="6">
        <v>5.2969999999999997</v>
      </c>
      <c r="E86" s="6">
        <v>5.9589999999999996</v>
      </c>
      <c r="F86" s="6">
        <v>5.0019999999999998</v>
      </c>
      <c r="G86" s="11">
        <f t="shared" ref="G86:G88" si="12">(F86-C86)/C86/31</f>
        <v>5.1445406553307293E-3</v>
      </c>
      <c r="H86" s="12">
        <v>2.6179999999999999</v>
      </c>
      <c r="I86" s="13">
        <f t="shared" si="1"/>
        <v>1.9106187929717342</v>
      </c>
    </row>
    <row r="87" spans="1:9">
      <c r="A87" s="5" t="s">
        <v>206</v>
      </c>
      <c r="B87" s="10" t="s">
        <v>190</v>
      </c>
      <c r="C87" s="6">
        <v>2.4710000000000001</v>
      </c>
      <c r="D87" s="6">
        <v>2.6539999999999999</v>
      </c>
      <c r="E87" s="6">
        <v>2.8410000000000002</v>
      </c>
      <c r="F87" s="6">
        <v>3.2370000000000001</v>
      </c>
      <c r="G87" s="11">
        <f t="shared" si="12"/>
        <v>9.9998694534013909E-3</v>
      </c>
      <c r="H87" s="12">
        <v>1.7430000000000001</v>
      </c>
      <c r="I87" s="13">
        <f t="shared" si="1"/>
        <v>1.857142857142857</v>
      </c>
    </row>
    <row r="88" spans="1:9">
      <c r="A88" s="5" t="s">
        <v>207</v>
      </c>
      <c r="B88" s="10" t="s">
        <v>105</v>
      </c>
      <c r="C88" s="6">
        <v>941</v>
      </c>
      <c r="D88" s="6">
        <v>1.3</v>
      </c>
      <c r="E88" s="6">
        <v>1.409</v>
      </c>
      <c r="F88" s="6">
        <v>2.2930000000000001</v>
      </c>
      <c r="G88" s="11">
        <f t="shared" si="12"/>
        <v>-3.2179459051798018E-2</v>
      </c>
      <c r="H88" s="12">
        <v>1.0169999999999999</v>
      </c>
      <c r="I88" s="13">
        <f t="shared" si="1"/>
        <v>2.2546705998033434</v>
      </c>
    </row>
    <row r="89" spans="1:9">
      <c r="A89" s="5" t="s">
        <v>208</v>
      </c>
      <c r="B89" s="10" t="s">
        <v>105</v>
      </c>
      <c r="C89" s="6" t="s">
        <v>116</v>
      </c>
      <c r="D89" s="6" t="s">
        <v>116</v>
      </c>
      <c r="E89" s="6" t="s">
        <v>116</v>
      </c>
      <c r="F89" s="6">
        <v>153</v>
      </c>
      <c r="G89" s="11">
        <v>0</v>
      </c>
      <c r="H89" s="12">
        <v>3.51</v>
      </c>
      <c r="I89" s="13">
        <f t="shared" si="1"/>
        <v>43.589743589743591</v>
      </c>
    </row>
    <row r="90" spans="1:9">
      <c r="A90" s="5" t="s">
        <v>209</v>
      </c>
      <c r="B90" s="10" t="s">
        <v>129</v>
      </c>
      <c r="C90" s="6">
        <v>1.5029999999999999</v>
      </c>
      <c r="D90" s="6">
        <v>4.7489999999999997</v>
      </c>
      <c r="E90" s="6">
        <v>5.0289999999999999</v>
      </c>
      <c r="F90" s="6">
        <v>8.0350000000000001</v>
      </c>
      <c r="G90" s="11">
        <f>(F90-C90)/C90/31</f>
        <v>0.14019273281394201</v>
      </c>
      <c r="H90" s="12">
        <v>3.8929999999999998</v>
      </c>
      <c r="I90" s="13">
        <f t="shared" si="1"/>
        <v>2.0639609555612641</v>
      </c>
    </row>
    <row r="91" spans="1:9">
      <c r="A91" s="5" t="s">
        <v>210</v>
      </c>
      <c r="B91" s="10" t="s">
        <v>105</v>
      </c>
      <c r="C91" s="6" t="s">
        <v>116</v>
      </c>
      <c r="D91" s="6" t="s">
        <v>116</v>
      </c>
      <c r="E91" s="6" t="s">
        <v>116</v>
      </c>
      <c r="F91" s="6">
        <v>772</v>
      </c>
      <c r="G91" s="11">
        <v>0</v>
      </c>
      <c r="H91" s="12">
        <v>6.4820000000000002</v>
      </c>
      <c r="I91" s="13">
        <f t="shared" si="1"/>
        <v>119.09904350509102</v>
      </c>
    </row>
    <row r="92" spans="1:9">
      <c r="A92" s="5" t="s">
        <v>211</v>
      </c>
      <c r="B92" s="10" t="s">
        <v>119</v>
      </c>
      <c r="C92" s="6" t="s">
        <v>116</v>
      </c>
      <c r="D92" s="6" t="s">
        <v>116</v>
      </c>
      <c r="E92" s="6" t="s">
        <v>116</v>
      </c>
      <c r="F92" s="6">
        <v>398</v>
      </c>
      <c r="G92" s="11">
        <v>0</v>
      </c>
      <c r="H92" s="12">
        <v>2.9209999999999998</v>
      </c>
      <c r="I92" s="13">
        <f t="shared" si="1"/>
        <v>136.25470729202328</v>
      </c>
    </row>
    <row r="93" spans="1:9">
      <c r="A93" s="5" t="s">
        <v>212</v>
      </c>
      <c r="B93" s="10" t="s">
        <v>111</v>
      </c>
      <c r="C93" s="6">
        <v>1.5449999999999999</v>
      </c>
      <c r="D93" s="6">
        <v>1.6379999999999999</v>
      </c>
      <c r="E93" s="6">
        <v>1.8260000000000001</v>
      </c>
      <c r="F93" s="6">
        <v>2.718</v>
      </c>
      <c r="G93" s="11">
        <f>(F93-C93)/C93/31</f>
        <v>2.4491074224866898E-2</v>
      </c>
      <c r="H93" s="12">
        <v>1.621</v>
      </c>
      <c r="I93" s="13">
        <f t="shared" si="1"/>
        <v>1.676742751388032</v>
      </c>
    </row>
    <row r="94" spans="1:9">
      <c r="A94" s="5" t="s">
        <v>213</v>
      </c>
      <c r="B94" s="10" t="s">
        <v>111</v>
      </c>
      <c r="C94" s="6" t="s">
        <v>116</v>
      </c>
      <c r="D94" s="6" t="s">
        <v>116</v>
      </c>
      <c r="E94" s="6" t="s">
        <v>116</v>
      </c>
      <c r="F94" s="6">
        <v>420</v>
      </c>
      <c r="G94" s="11">
        <v>0</v>
      </c>
      <c r="H94" s="12">
        <v>4.4320000000000004</v>
      </c>
      <c r="I94" s="13">
        <f t="shared" si="1"/>
        <v>94.765342960288805</v>
      </c>
    </row>
    <row r="95" spans="1:9">
      <c r="A95" s="5" t="s">
        <v>214</v>
      </c>
      <c r="B95" s="10" t="s">
        <v>119</v>
      </c>
      <c r="C95" s="6" t="s">
        <v>116</v>
      </c>
      <c r="D95" s="6" t="s">
        <v>116</v>
      </c>
      <c r="E95" s="6" t="s">
        <v>116</v>
      </c>
      <c r="F95" s="6">
        <v>22</v>
      </c>
      <c r="G95" s="11">
        <v>0</v>
      </c>
      <c r="H95" s="12">
        <v>1.143</v>
      </c>
      <c r="I95" s="13">
        <f t="shared" si="1"/>
        <v>19.247594050743658</v>
      </c>
    </row>
    <row r="96" spans="1:9">
      <c r="A96" s="5" t="s">
        <v>215</v>
      </c>
      <c r="B96" s="10" t="s">
        <v>136</v>
      </c>
      <c r="C96" s="6" t="s">
        <v>116</v>
      </c>
      <c r="D96" s="6" t="s">
        <v>116</v>
      </c>
      <c r="E96" s="6" t="s">
        <v>116</v>
      </c>
      <c r="F96" s="6">
        <v>387</v>
      </c>
      <c r="G96" s="11">
        <v>0</v>
      </c>
      <c r="H96" s="12">
        <v>4.633</v>
      </c>
      <c r="I96" s="13">
        <f t="shared" si="1"/>
        <v>83.531189294193823</v>
      </c>
    </row>
    <row r="97" spans="1:9">
      <c r="A97" s="5" t="s">
        <v>216</v>
      </c>
      <c r="B97" s="10" t="s">
        <v>134</v>
      </c>
      <c r="C97" s="6">
        <v>31.866</v>
      </c>
      <c r="D97" s="6">
        <v>48.655000000000001</v>
      </c>
      <c r="E97" s="6">
        <v>52.96</v>
      </c>
      <c r="F97" s="6">
        <v>68.921000000000006</v>
      </c>
      <c r="G97" s="11">
        <f>(F97-C97)/C97/31</f>
        <v>3.751090757061324E-2</v>
      </c>
      <c r="H97" s="12">
        <v>15.44</v>
      </c>
      <c r="I97" s="13">
        <f t="shared" si="1"/>
        <v>4.4637953367875651</v>
      </c>
    </row>
    <row r="98" spans="1:9">
      <c r="A98" s="5" t="s">
        <v>217</v>
      </c>
      <c r="B98" s="10" t="s">
        <v>109</v>
      </c>
      <c r="C98" s="6" t="s">
        <v>116</v>
      </c>
      <c r="D98" s="6" t="s">
        <v>116</v>
      </c>
      <c r="E98" s="6" t="s">
        <v>116</v>
      </c>
      <c r="F98" s="6">
        <v>1.141</v>
      </c>
      <c r="G98" s="11">
        <v>0</v>
      </c>
      <c r="H98" s="12">
        <v>2</v>
      </c>
      <c r="I98" s="13">
        <f t="shared" si="1"/>
        <v>0.57050000000000001</v>
      </c>
    </row>
    <row r="99" spans="1:9">
      <c r="A99" s="5" t="s">
        <v>218</v>
      </c>
      <c r="B99" s="10" t="s">
        <v>113</v>
      </c>
      <c r="C99" s="6">
        <v>3.6989999999999998</v>
      </c>
      <c r="D99" s="6">
        <v>4.0640000000000001</v>
      </c>
      <c r="E99" s="6">
        <v>4.274</v>
      </c>
      <c r="F99" s="6">
        <v>6.5839999999999996</v>
      </c>
      <c r="G99" s="11">
        <f>(F99-C99)/C99/31</f>
        <v>2.5159371756970059E-2</v>
      </c>
      <c r="H99" s="12">
        <v>2.8130000000000002</v>
      </c>
      <c r="I99" s="13">
        <f t="shared" si="1"/>
        <v>2.3405616779239242</v>
      </c>
    </row>
    <row r="100" spans="1:9">
      <c r="A100" s="5" t="s">
        <v>219</v>
      </c>
      <c r="B100" s="10" t="s">
        <v>134</v>
      </c>
      <c r="C100" s="6" t="s">
        <v>116</v>
      </c>
      <c r="D100" s="6" t="s">
        <v>116</v>
      </c>
      <c r="E100" s="6" t="s">
        <v>116</v>
      </c>
      <c r="F100" s="6">
        <v>142</v>
      </c>
      <c r="G100" s="11">
        <v>0</v>
      </c>
      <c r="H100" s="12">
        <v>1.401</v>
      </c>
      <c r="I100" s="13">
        <f t="shared" si="1"/>
        <v>101.35617416131335</v>
      </c>
    </row>
    <row r="101" spans="1:9">
      <c r="A101" s="5" t="s">
        <v>220</v>
      </c>
      <c r="B101" s="10" t="s">
        <v>129</v>
      </c>
      <c r="C101" s="6" t="s">
        <v>116</v>
      </c>
      <c r="D101" s="6" t="s">
        <v>116</v>
      </c>
      <c r="E101" s="6" t="s">
        <v>116</v>
      </c>
      <c r="F101" s="6">
        <v>3.9769999999999999</v>
      </c>
      <c r="G101" s="11">
        <v>0</v>
      </c>
      <c r="H101" s="12">
        <v>6.1539999999999999</v>
      </c>
      <c r="I101" s="13">
        <f t="shared" si="1"/>
        <v>0.646246343841404</v>
      </c>
    </row>
    <row r="102" spans="1:9">
      <c r="A102" s="5" t="s">
        <v>221</v>
      </c>
      <c r="B102" s="10" t="s">
        <v>111</v>
      </c>
      <c r="C102" s="6" t="s">
        <v>116</v>
      </c>
      <c r="D102" s="6" t="s">
        <v>116</v>
      </c>
      <c r="E102" s="6" t="s">
        <v>116</v>
      </c>
      <c r="F102" s="6">
        <v>957</v>
      </c>
      <c r="G102" s="11">
        <v>0</v>
      </c>
      <c r="H102" s="12">
        <v>1.593</v>
      </c>
      <c r="I102" s="13">
        <f t="shared" si="1"/>
        <v>600.75329566854987</v>
      </c>
    </row>
    <row r="103" spans="1:9">
      <c r="A103" s="5" t="s">
        <v>222</v>
      </c>
      <c r="B103" s="10" t="s">
        <v>107</v>
      </c>
      <c r="C103" s="6" t="s">
        <v>116</v>
      </c>
      <c r="D103" s="6" t="s">
        <v>116</v>
      </c>
      <c r="E103" s="6" t="s">
        <v>116</v>
      </c>
      <c r="F103" s="6">
        <v>481</v>
      </c>
      <c r="G103" s="11">
        <v>0</v>
      </c>
      <c r="H103" s="12">
        <v>1.2769999999999999</v>
      </c>
      <c r="I103" s="13">
        <f t="shared" si="1"/>
        <v>376.6640563821457</v>
      </c>
    </row>
    <row r="104" spans="1:9">
      <c r="A104" s="5" t="s">
        <v>223</v>
      </c>
      <c r="B104" s="10" t="s">
        <v>136</v>
      </c>
      <c r="C104" s="6" t="s">
        <v>116</v>
      </c>
      <c r="D104" s="6" t="s">
        <v>116</v>
      </c>
      <c r="E104" s="6" t="s">
        <v>116</v>
      </c>
      <c r="F104" s="6">
        <v>689</v>
      </c>
      <c r="G104" s="11">
        <v>0</v>
      </c>
      <c r="H104" s="12">
        <v>2.5550000000000002</v>
      </c>
      <c r="I104" s="13">
        <f t="shared" si="1"/>
        <v>269.66731898238748</v>
      </c>
    </row>
    <row r="105" spans="1:9">
      <c r="A105" s="5" t="s">
        <v>224</v>
      </c>
      <c r="B105" s="10" t="s">
        <v>113</v>
      </c>
      <c r="C105" s="6" t="s">
        <v>116</v>
      </c>
      <c r="D105" s="6" t="s">
        <v>116</v>
      </c>
      <c r="E105" s="6" t="s">
        <v>116</v>
      </c>
      <c r="F105" s="6">
        <v>447</v>
      </c>
      <c r="G105" s="11">
        <v>0</v>
      </c>
      <c r="H105" s="12">
        <v>4.694</v>
      </c>
      <c r="I105" s="13">
        <f t="shared" si="1"/>
        <v>95.227950575202385</v>
      </c>
    </row>
    <row r="106" spans="1:9">
      <c r="A106" s="5" t="s">
        <v>225</v>
      </c>
      <c r="B106" s="10" t="s">
        <v>94</v>
      </c>
      <c r="C106" s="6" t="s">
        <v>116</v>
      </c>
      <c r="D106" s="6" t="s">
        <v>116</v>
      </c>
      <c r="E106" s="6" t="s">
        <v>116</v>
      </c>
      <c r="F106" s="6">
        <v>171</v>
      </c>
      <c r="G106" s="11">
        <v>0</v>
      </c>
      <c r="H106" s="12">
        <v>9.5410000000000004</v>
      </c>
      <c r="I106" s="13">
        <f t="shared" si="1"/>
        <v>17.92264961744052</v>
      </c>
    </row>
    <row r="107" spans="1:9">
      <c r="A107" s="5" t="s">
        <v>226</v>
      </c>
      <c r="B107" s="10" t="s">
        <v>134</v>
      </c>
      <c r="C107" s="6" t="s">
        <v>116</v>
      </c>
      <c r="D107" s="6">
        <v>1.889</v>
      </c>
      <c r="E107" s="6">
        <v>1.752</v>
      </c>
      <c r="F107" s="6">
        <v>5.1879999999999997</v>
      </c>
      <c r="G107" s="11" t="e">
        <f>(F107-C107)/C107/31</f>
        <v>#VALUE!</v>
      </c>
      <c r="H107" s="12">
        <v>6.0940000000000003</v>
      </c>
      <c r="I107" s="13">
        <f t="shared" si="1"/>
        <v>0.85132917623892346</v>
      </c>
    </row>
    <row r="108" spans="1:9">
      <c r="A108" s="5" t="s">
        <v>227</v>
      </c>
      <c r="B108" s="10" t="s">
        <v>111</v>
      </c>
      <c r="C108" s="6" t="s">
        <v>116</v>
      </c>
      <c r="D108" s="6" t="s">
        <v>116</v>
      </c>
      <c r="E108" s="6" t="s">
        <v>116</v>
      </c>
      <c r="F108" s="6">
        <v>495</v>
      </c>
      <c r="G108" s="11">
        <v>0</v>
      </c>
      <c r="H108" s="12">
        <v>1.8540000000000001</v>
      </c>
      <c r="I108" s="13">
        <f t="shared" si="1"/>
        <v>266.99029126213588</v>
      </c>
    </row>
    <row r="109" spans="1:9">
      <c r="A109" s="5" t="s">
        <v>228</v>
      </c>
      <c r="B109" s="10" t="s">
        <v>115</v>
      </c>
      <c r="C109" s="6" t="s">
        <v>116</v>
      </c>
      <c r="D109" s="6" t="s">
        <v>116</v>
      </c>
      <c r="E109" s="6" t="s">
        <v>116</v>
      </c>
      <c r="F109" s="6">
        <v>1.171</v>
      </c>
      <c r="G109" s="11">
        <v>0</v>
      </c>
      <c r="H109" s="12">
        <v>5.8650000000000002</v>
      </c>
      <c r="I109" s="13">
        <f t="shared" si="1"/>
        <v>0.19965899403239556</v>
      </c>
    </row>
    <row r="110" spans="1:9">
      <c r="A110" s="5" t="s">
        <v>229</v>
      </c>
      <c r="B110" s="10" t="s">
        <v>136</v>
      </c>
      <c r="C110" s="6" t="s">
        <v>116</v>
      </c>
      <c r="D110" s="6">
        <v>244</v>
      </c>
      <c r="E110" s="6">
        <v>274</v>
      </c>
      <c r="F110" s="6">
        <v>357</v>
      </c>
      <c r="G110" s="11" t="e">
        <f t="shared" ref="G110:G111" si="13">(F110-C110)/C110/31</f>
        <v>#VALUE!</v>
      </c>
      <c r="H110" s="12">
        <v>5.4550000000000001</v>
      </c>
      <c r="I110" s="13">
        <f t="shared" si="1"/>
        <v>65.444546287809345</v>
      </c>
    </row>
    <row r="111" spans="1:9">
      <c r="A111" s="5" t="s">
        <v>230</v>
      </c>
      <c r="B111" s="10" t="s">
        <v>111</v>
      </c>
      <c r="C111" s="6">
        <v>5.9589999999999996</v>
      </c>
      <c r="D111" s="6">
        <v>7.6619999999999999</v>
      </c>
      <c r="E111" s="6">
        <v>9.4290000000000003</v>
      </c>
      <c r="F111" s="6">
        <v>11.430999999999999</v>
      </c>
      <c r="G111" s="11">
        <f t="shared" si="13"/>
        <v>2.9621770268880358E-2</v>
      </c>
      <c r="H111" s="12">
        <v>2.2709999999999999</v>
      </c>
      <c r="I111" s="13">
        <f t="shared" si="1"/>
        <v>5.0334654337296341</v>
      </c>
    </row>
    <row r="112" spans="1:9">
      <c r="A112" s="5" t="s">
        <v>231</v>
      </c>
      <c r="B112" s="10" t="s">
        <v>136</v>
      </c>
      <c r="C112" s="6" t="s">
        <v>116</v>
      </c>
      <c r="D112" s="6" t="s">
        <v>116</v>
      </c>
      <c r="E112" s="6" t="s">
        <v>116</v>
      </c>
      <c r="F112" s="6">
        <v>502</v>
      </c>
      <c r="G112" s="11">
        <v>0</v>
      </c>
      <c r="H112" s="12">
        <v>3.242</v>
      </c>
      <c r="I112" s="13">
        <f t="shared" si="1"/>
        <v>154.84268969771745</v>
      </c>
    </row>
    <row r="113" spans="1:9">
      <c r="A113" s="5" t="s">
        <v>232</v>
      </c>
      <c r="B113" s="10" t="s">
        <v>109</v>
      </c>
      <c r="C113" s="6">
        <v>2.11</v>
      </c>
      <c r="D113" s="6">
        <v>2.7029999999999998</v>
      </c>
      <c r="E113" s="6">
        <v>3.01</v>
      </c>
      <c r="F113" s="6">
        <v>4.5750000000000002</v>
      </c>
      <c r="G113" s="11">
        <f>(F113-C113)/C113/31</f>
        <v>3.7685369209600986E-2</v>
      </c>
      <c r="H113" s="12">
        <v>2.3679999999999999</v>
      </c>
      <c r="I113" s="13">
        <f t="shared" si="1"/>
        <v>1.9320101351351353</v>
      </c>
    </row>
    <row r="114" spans="1:9">
      <c r="A114" s="5" t="s">
        <v>233</v>
      </c>
      <c r="B114" s="10" t="s">
        <v>107</v>
      </c>
      <c r="C114" s="6" t="s">
        <v>116</v>
      </c>
      <c r="D114" s="6" t="s">
        <v>116</v>
      </c>
      <c r="E114" s="6" t="s">
        <v>116</v>
      </c>
      <c r="F114" s="6">
        <v>320</v>
      </c>
      <c r="G114" s="11">
        <v>0</v>
      </c>
      <c r="H114" s="12">
        <v>1.0760000000000001</v>
      </c>
      <c r="I114" s="13">
        <f t="shared" si="1"/>
        <v>297.3977695167286</v>
      </c>
    </row>
    <row r="115" spans="1:9">
      <c r="A115" s="5" t="s">
        <v>234</v>
      </c>
      <c r="B115" s="10" t="s">
        <v>136</v>
      </c>
      <c r="C115" s="6" t="s">
        <v>116</v>
      </c>
      <c r="D115" s="6" t="s">
        <v>116</v>
      </c>
      <c r="E115" s="6" t="s">
        <v>116</v>
      </c>
      <c r="F115" s="6">
        <v>451</v>
      </c>
      <c r="G115" s="11">
        <v>0</v>
      </c>
      <c r="H115" s="12">
        <v>3.2040000000000002</v>
      </c>
      <c r="I115" s="13">
        <f t="shared" si="1"/>
        <v>140.76154806491886</v>
      </c>
    </row>
    <row r="116" spans="1:9">
      <c r="A116" s="5" t="s">
        <v>235</v>
      </c>
      <c r="B116" s="10" t="s">
        <v>111</v>
      </c>
      <c r="C116" s="6" t="s">
        <v>116</v>
      </c>
      <c r="D116" s="6" t="s">
        <v>116</v>
      </c>
      <c r="E116" s="6" t="s">
        <v>116</v>
      </c>
      <c r="F116" s="6">
        <v>401</v>
      </c>
      <c r="G116" s="11">
        <v>0</v>
      </c>
      <c r="H116" s="12">
        <v>5.6369999999999996</v>
      </c>
      <c r="I116" s="13">
        <f t="shared" si="1"/>
        <v>71.137129678907229</v>
      </c>
    </row>
    <row r="117" spans="1:9">
      <c r="A117" s="5" t="s">
        <v>236</v>
      </c>
      <c r="B117" s="10" t="s">
        <v>119</v>
      </c>
      <c r="C117" s="6" t="s">
        <v>116</v>
      </c>
      <c r="D117" s="6" t="s">
        <v>116</v>
      </c>
      <c r="E117" s="6" t="s">
        <v>116</v>
      </c>
      <c r="F117" s="6">
        <v>742</v>
      </c>
      <c r="G117" s="11">
        <v>0</v>
      </c>
      <c r="H117" s="12">
        <v>2.5499999999999998</v>
      </c>
      <c r="I117" s="13">
        <f t="shared" si="1"/>
        <v>290.98039215686276</v>
      </c>
    </row>
    <row r="118" spans="1:9">
      <c r="A118" s="5" t="s">
        <v>237</v>
      </c>
      <c r="B118" s="10" t="s">
        <v>105</v>
      </c>
      <c r="C118" s="6" t="s">
        <v>116</v>
      </c>
      <c r="D118" s="6">
        <v>535</v>
      </c>
      <c r="E118" s="6">
        <v>481</v>
      </c>
      <c r="F118" s="6">
        <v>1.034</v>
      </c>
      <c r="G118" s="11" t="e">
        <f>(F118-C118)/C118/31</f>
        <v>#VALUE!</v>
      </c>
      <c r="H118" s="12">
        <v>7.7729999999999997</v>
      </c>
      <c r="I118" s="13">
        <f t="shared" si="1"/>
        <v>0.13302457223723146</v>
      </c>
    </row>
    <row r="119" spans="1:9">
      <c r="A119" s="5" t="s">
        <v>238</v>
      </c>
      <c r="B119" s="10" t="s">
        <v>136</v>
      </c>
      <c r="C119" s="6" t="s">
        <v>116</v>
      </c>
      <c r="D119" s="6" t="s">
        <v>116</v>
      </c>
      <c r="E119" s="6" t="s">
        <v>116</v>
      </c>
      <c r="F119" s="6">
        <v>1.1240000000000001</v>
      </c>
      <c r="G119" s="11">
        <v>0</v>
      </c>
      <c r="H119" s="12">
        <v>1.7170000000000001</v>
      </c>
      <c r="I119" s="13">
        <f t="shared" si="1"/>
        <v>0.65463016889924286</v>
      </c>
    </row>
    <row r="120" spans="1:9">
      <c r="A120" s="5" t="s">
        <v>239</v>
      </c>
      <c r="B120" s="10" t="s">
        <v>124</v>
      </c>
      <c r="C120" s="6" t="s">
        <v>116</v>
      </c>
      <c r="D120" s="6" t="s">
        <v>116</v>
      </c>
      <c r="E120" s="6" t="s">
        <v>116</v>
      </c>
      <c r="F120" s="6">
        <v>535</v>
      </c>
      <c r="G120" s="11">
        <v>0</v>
      </c>
      <c r="H120" s="12">
        <v>4.867</v>
      </c>
      <c r="I120" s="13">
        <f t="shared" si="1"/>
        <v>109.92397780973906</v>
      </c>
    </row>
    <row r="121" spans="1:9">
      <c r="A121" s="5" t="s">
        <v>240</v>
      </c>
      <c r="B121" s="10" t="s">
        <v>136</v>
      </c>
      <c r="C121" s="6">
        <v>843</v>
      </c>
      <c r="D121" s="6">
        <v>1.0029999999999999</v>
      </c>
      <c r="E121" s="6">
        <v>1.0609999999999999</v>
      </c>
      <c r="F121" s="6">
        <v>1.4119999999999999</v>
      </c>
      <c r="G121" s="11">
        <f t="shared" ref="G121:G123" si="14">(F121-C121)/C121/31</f>
        <v>-3.2204033214709368E-2</v>
      </c>
      <c r="H121" s="12">
        <v>4.8479999999999999</v>
      </c>
      <c r="I121" s="13">
        <f t="shared" si="1"/>
        <v>0.29125412541254125</v>
      </c>
    </row>
    <row r="122" spans="1:9">
      <c r="A122" s="5" t="s">
        <v>241</v>
      </c>
      <c r="B122" s="10" t="s">
        <v>113</v>
      </c>
      <c r="C122" s="6">
        <v>947</v>
      </c>
      <c r="D122" s="6">
        <v>1.331</v>
      </c>
      <c r="E122" s="6">
        <v>1.5489999999999999</v>
      </c>
      <c r="F122" s="6">
        <v>1.4419999999999999</v>
      </c>
      <c r="G122" s="11">
        <f t="shared" si="14"/>
        <v>-3.2208945055693702E-2</v>
      </c>
      <c r="H122" s="12">
        <v>9.2270000000000003</v>
      </c>
      <c r="I122" s="13">
        <f t="shared" si="1"/>
        <v>0.15628048119648855</v>
      </c>
    </row>
    <row r="123" spans="1:9">
      <c r="A123" s="5" t="s">
        <v>242</v>
      </c>
      <c r="B123" s="10" t="s">
        <v>124</v>
      </c>
      <c r="C123" s="6">
        <v>722</v>
      </c>
      <c r="D123" s="6">
        <v>815</v>
      </c>
      <c r="E123" s="6">
        <v>880</v>
      </c>
      <c r="F123" s="6">
        <v>1.5229999999999999</v>
      </c>
      <c r="G123" s="11">
        <f t="shared" si="14"/>
        <v>-3.2190018765079077E-2</v>
      </c>
      <c r="H123" s="12">
        <v>1.302</v>
      </c>
      <c r="I123" s="13">
        <f t="shared" si="1"/>
        <v>1.1697388632872503</v>
      </c>
    </row>
    <row r="124" spans="1:9">
      <c r="A124" s="5" t="s">
        <v>243</v>
      </c>
      <c r="B124" s="10" t="s">
        <v>109</v>
      </c>
      <c r="C124" s="6" t="s">
        <v>116</v>
      </c>
      <c r="D124" s="6" t="s">
        <v>116</v>
      </c>
      <c r="E124" s="6" t="s">
        <v>116</v>
      </c>
      <c r="F124" s="6">
        <v>786</v>
      </c>
      <c r="G124" s="11">
        <v>0</v>
      </c>
      <c r="H124" s="12">
        <v>4.6870000000000003</v>
      </c>
      <c r="I124" s="13">
        <f t="shared" si="1"/>
        <v>167.69788777469597</v>
      </c>
    </row>
    <row r="125" spans="1:9">
      <c r="A125" s="5" t="s">
        <v>244</v>
      </c>
      <c r="B125" s="10" t="s">
        <v>107</v>
      </c>
      <c r="C125" s="6">
        <v>19.803999999999998</v>
      </c>
      <c r="D125" s="6">
        <v>22.236000000000001</v>
      </c>
      <c r="E125" s="6">
        <v>23.274000000000001</v>
      </c>
      <c r="F125" s="6">
        <v>31.001000000000001</v>
      </c>
      <c r="G125" s="11">
        <f t="shared" ref="G125:G127" si="15">(F125-C125)/C125/31</f>
        <v>1.823841387533311E-2</v>
      </c>
      <c r="H125" s="12">
        <v>9.2140000000000004</v>
      </c>
      <c r="I125" s="13">
        <f t="shared" si="1"/>
        <v>3.3645539396570436</v>
      </c>
    </row>
    <row r="126" spans="1:9">
      <c r="A126" s="5" t="s">
        <v>245</v>
      </c>
      <c r="B126" s="10" t="s">
        <v>124</v>
      </c>
      <c r="C126" s="6">
        <v>84</v>
      </c>
      <c r="D126" s="6">
        <v>173</v>
      </c>
      <c r="E126" s="6">
        <v>214</v>
      </c>
      <c r="F126" s="6">
        <v>486</v>
      </c>
      <c r="G126" s="11">
        <f t="shared" si="15"/>
        <v>0.15437788018433179</v>
      </c>
      <c r="H126" s="12">
        <v>1.387</v>
      </c>
      <c r="I126" s="13">
        <f t="shared" si="1"/>
        <v>350.39653929343905</v>
      </c>
    </row>
    <row r="127" spans="1:9">
      <c r="A127" s="5" t="s">
        <v>246</v>
      </c>
      <c r="B127" s="10" t="s">
        <v>111</v>
      </c>
      <c r="C127" s="6">
        <v>507</v>
      </c>
      <c r="D127" s="6">
        <v>780</v>
      </c>
      <c r="E127" s="6">
        <v>830</v>
      </c>
      <c r="F127" s="6">
        <v>1.0660000000000001</v>
      </c>
      <c r="G127" s="11">
        <f t="shared" si="15"/>
        <v>-3.2190239867659225E-2</v>
      </c>
      <c r="H127" s="12">
        <v>3.31</v>
      </c>
      <c r="I127" s="13">
        <f t="shared" si="1"/>
        <v>0.32205438066465258</v>
      </c>
    </row>
    <row r="128" spans="1:9">
      <c r="A128" s="5" t="s">
        <v>247</v>
      </c>
      <c r="B128" s="10" t="s">
        <v>94</v>
      </c>
      <c r="C128" s="6" t="s">
        <v>116</v>
      </c>
      <c r="D128" s="6" t="s">
        <v>116</v>
      </c>
      <c r="E128" s="6" t="s">
        <v>116</v>
      </c>
      <c r="F128" s="6">
        <v>762</v>
      </c>
      <c r="G128" s="11">
        <v>0</v>
      </c>
      <c r="H128" s="12">
        <v>2.347</v>
      </c>
      <c r="I128" s="13">
        <f t="shared" si="1"/>
        <v>324.66979122283766</v>
      </c>
    </row>
    <row r="129" spans="1:9">
      <c r="A129" s="5" t="s">
        <v>248</v>
      </c>
      <c r="B129" s="10" t="s">
        <v>105</v>
      </c>
      <c r="C129" s="6" t="s">
        <v>116</v>
      </c>
      <c r="D129" s="6" t="s">
        <v>116</v>
      </c>
      <c r="E129" s="6" t="s">
        <v>116</v>
      </c>
      <c r="F129" s="6">
        <v>172</v>
      </c>
      <c r="G129" s="11">
        <v>0</v>
      </c>
      <c r="H129" s="12">
        <v>1.5309999999999999</v>
      </c>
      <c r="I129" s="13">
        <f t="shared" si="1"/>
        <v>112.3448726322665</v>
      </c>
    </row>
    <row r="130" spans="1:9">
      <c r="A130" s="5" t="s">
        <v>249</v>
      </c>
      <c r="B130" s="10" t="s">
        <v>107</v>
      </c>
      <c r="C130" s="6">
        <v>2.6179999999999999</v>
      </c>
      <c r="D130" s="6">
        <v>3.26</v>
      </c>
      <c r="E130" s="6">
        <v>3.53</v>
      </c>
      <c r="F130" s="6">
        <v>5.056</v>
      </c>
      <c r="G130" s="11">
        <f>(F130-C130)/C130/31</f>
        <v>3.0040168560092662E-2</v>
      </c>
      <c r="H130" s="12">
        <v>1.482</v>
      </c>
      <c r="I130" s="13">
        <f t="shared" si="1"/>
        <v>3.4116059379217276</v>
      </c>
    </row>
    <row r="131" spans="1:9">
      <c r="A131" s="5" t="s">
        <v>250</v>
      </c>
      <c r="B131" s="10" t="s">
        <v>134</v>
      </c>
      <c r="C131" s="6" t="s">
        <v>116</v>
      </c>
      <c r="D131" s="6" t="s">
        <v>116</v>
      </c>
      <c r="E131" s="6" t="s">
        <v>116</v>
      </c>
      <c r="F131" s="6">
        <v>1.754</v>
      </c>
      <c r="G131" s="11">
        <v>0</v>
      </c>
      <c r="H131" s="12">
        <v>12.62</v>
      </c>
      <c r="I131" s="13">
        <f t="shared" si="1"/>
        <v>0.13898573692551505</v>
      </c>
    </row>
    <row r="132" spans="1:9">
      <c r="A132" s="5" t="s">
        <v>251</v>
      </c>
      <c r="B132" s="10" t="s">
        <v>111</v>
      </c>
      <c r="C132" s="6">
        <v>4.4560000000000004</v>
      </c>
      <c r="D132" s="6">
        <v>5.758</v>
      </c>
      <c r="E132" s="6">
        <v>6.8920000000000003</v>
      </c>
      <c r="F132" s="6">
        <v>8.8439999999999994</v>
      </c>
      <c r="G132" s="11">
        <f t="shared" ref="G132:G134" si="16">(F132-C132)/C132/31</f>
        <v>3.1765796027103714E-2</v>
      </c>
      <c r="H132" s="12">
        <v>2.1040000000000001</v>
      </c>
      <c r="I132" s="13">
        <f t="shared" si="1"/>
        <v>4.2034220532319386</v>
      </c>
    </row>
    <row r="133" spans="1:9">
      <c r="A133" s="5" t="s">
        <v>252</v>
      </c>
      <c r="B133" s="10" t="s">
        <v>109</v>
      </c>
      <c r="C133" s="6" t="s">
        <v>116</v>
      </c>
      <c r="D133" s="6">
        <v>680</v>
      </c>
      <c r="E133" s="6">
        <v>758</v>
      </c>
      <c r="F133" s="6">
        <v>901</v>
      </c>
      <c r="G133" s="11" t="e">
        <f t="shared" si="16"/>
        <v>#VALUE!</v>
      </c>
      <c r="H133" s="12">
        <v>3.7269999999999999</v>
      </c>
      <c r="I133" s="13">
        <f t="shared" si="1"/>
        <v>241.74939629729005</v>
      </c>
    </row>
    <row r="134" spans="1:9">
      <c r="A134" s="5" t="s">
        <v>253</v>
      </c>
      <c r="B134" s="10" t="s">
        <v>136</v>
      </c>
      <c r="C134" s="6">
        <v>932</v>
      </c>
      <c r="D134" s="6">
        <v>1.0289999999999999</v>
      </c>
      <c r="E134" s="6">
        <v>1.077</v>
      </c>
      <c r="F134" s="6">
        <v>2.2869999999999999</v>
      </c>
      <c r="G134" s="11">
        <f t="shared" si="16"/>
        <v>-3.2178907656098571E-2</v>
      </c>
      <c r="H134" s="12">
        <v>1.4</v>
      </c>
      <c r="I134" s="13">
        <f t="shared" si="1"/>
        <v>1.6335714285714287</v>
      </c>
    </row>
    <row r="135" spans="1:9">
      <c r="A135" s="5" t="s">
        <v>254</v>
      </c>
      <c r="B135" s="10" t="s">
        <v>105</v>
      </c>
      <c r="C135" s="6" t="s">
        <v>116</v>
      </c>
      <c r="D135" s="6" t="s">
        <v>116</v>
      </c>
      <c r="E135" s="6" t="s">
        <v>116</v>
      </c>
      <c r="F135" s="6">
        <v>521</v>
      </c>
      <c r="G135" s="11">
        <v>0</v>
      </c>
      <c r="H135" s="12">
        <v>2.4209999999999998</v>
      </c>
      <c r="I135" s="13">
        <f t="shared" si="1"/>
        <v>215.20033044196614</v>
      </c>
    </row>
    <row r="136" spans="1:9">
      <c r="A136" s="5" t="s">
        <v>255</v>
      </c>
      <c r="B136" s="10" t="s">
        <v>107</v>
      </c>
      <c r="C136" s="6">
        <v>4.0389999999999997</v>
      </c>
      <c r="D136" s="6">
        <v>4.7850000000000001</v>
      </c>
      <c r="E136" s="6">
        <v>5.1310000000000002</v>
      </c>
      <c r="F136" s="6">
        <v>7.4009999999999998</v>
      </c>
      <c r="G136" s="11">
        <f>(F136-C136)/C136/31</f>
        <v>2.685110495251939E-2</v>
      </c>
      <c r="H136" s="12">
        <v>2.9449999999999998</v>
      </c>
      <c r="I136" s="13">
        <f t="shared" si="1"/>
        <v>2.5130730050933785</v>
      </c>
    </row>
    <row r="137" spans="1:9">
      <c r="A137" s="5" t="s">
        <v>256</v>
      </c>
      <c r="B137" s="10" t="s">
        <v>115</v>
      </c>
      <c r="C137" s="6" t="s">
        <v>116</v>
      </c>
      <c r="D137" s="6" t="s">
        <v>116</v>
      </c>
      <c r="E137" s="6" t="s">
        <v>116</v>
      </c>
      <c r="F137" s="6">
        <v>1.177</v>
      </c>
      <c r="G137" s="11">
        <v>0</v>
      </c>
      <c r="H137" s="12">
        <v>1.5349999999999999</v>
      </c>
      <c r="I137" s="13">
        <f t="shared" si="1"/>
        <v>0.76677524429967436</v>
      </c>
    </row>
    <row r="138" spans="1:9">
      <c r="A138" s="5" t="s">
        <v>257</v>
      </c>
      <c r="B138" s="10" t="s">
        <v>111</v>
      </c>
      <c r="C138" s="6" t="s">
        <v>116</v>
      </c>
      <c r="D138" s="6">
        <v>928</v>
      </c>
      <c r="E138" s="6">
        <v>3.153</v>
      </c>
      <c r="F138" s="6">
        <v>9.2929999999999993</v>
      </c>
      <c r="G138" s="11" t="e">
        <f>(F138-C138)/C138/31</f>
        <v>#VALUE!</v>
      </c>
      <c r="H138" s="12">
        <v>5.0380000000000003</v>
      </c>
      <c r="I138" s="13">
        <f t="shared" si="1"/>
        <v>1.8445811830091303</v>
      </c>
    </row>
    <row r="139" spans="1:9">
      <c r="A139" s="5" t="s">
        <v>258</v>
      </c>
      <c r="B139" s="10" t="s">
        <v>94</v>
      </c>
      <c r="C139" s="6" t="s">
        <v>116</v>
      </c>
      <c r="D139" s="6" t="s">
        <v>116</v>
      </c>
      <c r="E139" s="6" t="s">
        <v>116</v>
      </c>
      <c r="F139" s="6">
        <v>446</v>
      </c>
      <c r="G139" s="11">
        <v>0</v>
      </c>
      <c r="H139" s="12">
        <v>5.2709999999999999</v>
      </c>
      <c r="I139" s="13">
        <f t="shared" si="1"/>
        <v>84.613925251375449</v>
      </c>
    </row>
    <row r="140" spans="1:9">
      <c r="A140" s="5" t="s">
        <v>259</v>
      </c>
      <c r="B140" s="10" t="s">
        <v>129</v>
      </c>
      <c r="C140" s="6">
        <v>14.195</v>
      </c>
      <c r="D140" s="6">
        <v>17.878</v>
      </c>
      <c r="E140" s="6">
        <v>21.088000000000001</v>
      </c>
      <c r="F140" s="6">
        <v>27.228999999999999</v>
      </c>
      <c r="G140" s="11">
        <f>(F140-C140)/C140/31</f>
        <v>2.9619697985433305E-2</v>
      </c>
      <c r="H140" s="12">
        <v>7.1959999999999997</v>
      </c>
      <c r="I140" s="13">
        <f t="shared" si="1"/>
        <v>3.7839077265147303</v>
      </c>
    </row>
    <row r="141" spans="1:9">
      <c r="A141" s="5" t="s">
        <v>260</v>
      </c>
      <c r="B141" s="10" t="s">
        <v>134</v>
      </c>
      <c r="C141" s="6" t="s">
        <v>116</v>
      </c>
      <c r="D141" s="6" t="s">
        <v>116</v>
      </c>
      <c r="E141" s="6" t="s">
        <v>116</v>
      </c>
      <c r="F141" s="6">
        <v>804</v>
      </c>
      <c r="G141" s="11">
        <v>0</v>
      </c>
      <c r="H141" s="12">
        <v>3.1309999999999998</v>
      </c>
      <c r="I141" s="13">
        <f t="shared" si="1"/>
        <v>256.78696901948263</v>
      </c>
    </row>
    <row r="142" spans="1:9">
      <c r="A142" s="5" t="s">
        <v>261</v>
      </c>
      <c r="B142" s="10" t="s">
        <v>136</v>
      </c>
      <c r="C142" s="6" t="s">
        <v>116</v>
      </c>
      <c r="D142" s="6" t="s">
        <v>116</v>
      </c>
      <c r="E142" s="6" t="s">
        <v>116</v>
      </c>
      <c r="F142" s="6">
        <v>498</v>
      </c>
      <c r="G142" s="11">
        <v>0</v>
      </c>
      <c r="H142" s="12">
        <v>4.931</v>
      </c>
      <c r="I142" s="13">
        <f t="shared" si="1"/>
        <v>100.99371324274995</v>
      </c>
    </row>
    <row r="143" spans="1:9">
      <c r="A143" s="5" t="s">
        <v>262</v>
      </c>
      <c r="B143" s="10" t="s">
        <v>115</v>
      </c>
      <c r="C143" s="6">
        <v>112</v>
      </c>
      <c r="D143" s="6">
        <v>125</v>
      </c>
      <c r="E143" s="6">
        <v>123</v>
      </c>
      <c r="F143" s="6">
        <v>497</v>
      </c>
      <c r="G143" s="11">
        <f t="shared" ref="G143:G146" si="17">(F143-C143)/C143/31</f>
        <v>0.11088709677419355</v>
      </c>
      <c r="H143" s="12">
        <v>6.87</v>
      </c>
      <c r="I143" s="13">
        <f t="shared" si="1"/>
        <v>72.343522561863168</v>
      </c>
    </row>
    <row r="144" spans="1:9">
      <c r="A144" s="5" t="s">
        <v>263</v>
      </c>
      <c r="B144" s="10" t="s">
        <v>264</v>
      </c>
      <c r="C144" s="6">
        <v>470.80900000000003</v>
      </c>
      <c r="D144" s="6">
        <v>527.15</v>
      </c>
      <c r="E144" s="6">
        <v>548.86599999999999</v>
      </c>
      <c r="F144" s="6">
        <v>587.28899999999999</v>
      </c>
      <c r="G144" s="11">
        <f t="shared" si="17"/>
        <v>7.9807721492977154E-3</v>
      </c>
      <c r="H144" s="12">
        <v>89.78</v>
      </c>
      <c r="I144" s="13">
        <f t="shared" si="1"/>
        <v>6.5414234796168413</v>
      </c>
    </row>
    <row r="145" spans="1:9">
      <c r="A145" s="5" t="s">
        <v>265</v>
      </c>
      <c r="B145" s="10" t="s">
        <v>129</v>
      </c>
      <c r="C145" s="6">
        <v>6.5640000000000001</v>
      </c>
      <c r="D145" s="6">
        <v>8.1389999999999993</v>
      </c>
      <c r="E145" s="6">
        <v>9.6199999999999992</v>
      </c>
      <c r="F145" s="6">
        <v>14.555</v>
      </c>
      <c r="G145" s="11">
        <f t="shared" si="17"/>
        <v>3.9270900906213754E-2</v>
      </c>
      <c r="H145" s="12">
        <v>10.5</v>
      </c>
      <c r="I145" s="13">
        <f t="shared" si="1"/>
        <v>1.3861904761904762</v>
      </c>
    </row>
    <row r="146" spans="1:9">
      <c r="A146" s="5" t="s">
        <v>266</v>
      </c>
      <c r="B146" s="10" t="s">
        <v>138</v>
      </c>
      <c r="C146" s="6">
        <v>1.4330000000000001</v>
      </c>
      <c r="D146" s="6">
        <v>2.3889999999999998</v>
      </c>
      <c r="E146" s="6">
        <v>3.0649999999999999</v>
      </c>
      <c r="F146" s="6">
        <v>5.4429999999999996</v>
      </c>
      <c r="G146" s="11">
        <f t="shared" si="17"/>
        <v>9.0268554577583676E-2</v>
      </c>
      <c r="H146" s="12">
        <v>5.5720000000000001</v>
      </c>
      <c r="I146" s="13">
        <f t="shared" si="1"/>
        <v>0.97684852835606595</v>
      </c>
    </row>
    <row r="147" spans="1:9">
      <c r="A147" s="5" t="s">
        <v>267</v>
      </c>
      <c r="B147" s="10" t="s">
        <v>124</v>
      </c>
      <c r="C147" s="6" t="s">
        <v>116</v>
      </c>
      <c r="D147" s="6" t="s">
        <v>116</v>
      </c>
      <c r="E147" s="6" t="s">
        <v>116</v>
      </c>
      <c r="F147" s="6">
        <v>417</v>
      </c>
      <c r="G147" s="11">
        <v>0</v>
      </c>
      <c r="H147" s="12">
        <v>5.0309999999999997</v>
      </c>
      <c r="I147" s="13">
        <f t="shared" si="1"/>
        <v>82.886106141920095</v>
      </c>
    </row>
    <row r="148" spans="1:9">
      <c r="A148" s="5" t="s">
        <v>268</v>
      </c>
      <c r="B148" s="10" t="s">
        <v>136</v>
      </c>
      <c r="C148" s="6" t="s">
        <v>116</v>
      </c>
      <c r="D148" s="6" t="s">
        <v>116</v>
      </c>
      <c r="E148" s="6" t="s">
        <v>116</v>
      </c>
      <c r="F148" s="6">
        <v>254</v>
      </c>
      <c r="G148" s="11">
        <v>0</v>
      </c>
      <c r="H148" s="12">
        <v>2.2000000000000002</v>
      </c>
      <c r="I148" s="13">
        <f t="shared" si="1"/>
        <v>115.45454545454544</v>
      </c>
    </row>
    <row r="149" spans="1:9">
      <c r="A149" s="5" t="s">
        <v>269</v>
      </c>
      <c r="B149" s="10" t="s">
        <v>109</v>
      </c>
      <c r="C149" s="6">
        <v>3.9260000000000002</v>
      </c>
      <c r="D149" s="6">
        <v>4.7229999999999999</v>
      </c>
      <c r="E149" s="6">
        <v>7.8710000000000004</v>
      </c>
      <c r="F149" s="6">
        <v>10.704000000000001</v>
      </c>
      <c r="G149" s="11">
        <f t="shared" ref="G149:G155" si="18">(F149-C149)/C149/31</f>
        <v>5.5691584638390884E-2</v>
      </c>
      <c r="H149" s="12">
        <v>3.8919999999999999</v>
      </c>
      <c r="I149" s="13">
        <f t="shared" si="1"/>
        <v>2.7502569373072974</v>
      </c>
    </row>
    <row r="150" spans="1:9">
      <c r="A150" s="5" t="s">
        <v>270</v>
      </c>
      <c r="B150" s="10" t="s">
        <v>124</v>
      </c>
      <c r="C150" s="6">
        <v>228</v>
      </c>
      <c r="D150" s="6">
        <v>265</v>
      </c>
      <c r="E150" s="6">
        <v>187</v>
      </c>
      <c r="F150" s="6">
        <v>457</v>
      </c>
      <c r="G150" s="11">
        <f t="shared" si="18"/>
        <v>3.2399547255234855E-2</v>
      </c>
      <c r="H150" s="12">
        <v>6.327</v>
      </c>
      <c r="I150" s="13">
        <f t="shared" si="1"/>
        <v>72.230124861703814</v>
      </c>
    </row>
    <row r="151" spans="1:9">
      <c r="A151" s="5" t="s">
        <v>271</v>
      </c>
      <c r="B151" s="10" t="s">
        <v>107</v>
      </c>
      <c r="C151" s="6">
        <v>3.9940000000000002</v>
      </c>
      <c r="D151" s="6">
        <v>4.9290000000000003</v>
      </c>
      <c r="E151" s="6">
        <v>5.7039999999999997</v>
      </c>
      <c r="F151" s="6">
        <v>6.9969999999999999</v>
      </c>
      <c r="G151" s="11">
        <f t="shared" si="18"/>
        <v>2.425412312016411E-2</v>
      </c>
      <c r="H151" s="12">
        <v>1.458</v>
      </c>
      <c r="I151" s="13">
        <f t="shared" si="1"/>
        <v>4.7990397805212623</v>
      </c>
    </row>
    <row r="152" spans="1:9">
      <c r="A152" s="5" t="s">
        <v>272</v>
      </c>
      <c r="B152" s="10" t="s">
        <v>136</v>
      </c>
      <c r="C152" s="6">
        <v>1.448</v>
      </c>
      <c r="D152" s="6">
        <v>1.756</v>
      </c>
      <c r="E152" s="6">
        <v>1.9339999999999999</v>
      </c>
      <c r="F152" s="6">
        <v>3.153</v>
      </c>
      <c r="G152" s="11">
        <f t="shared" si="18"/>
        <v>3.7983425414364648E-2</v>
      </c>
      <c r="H152" s="12">
        <v>1.651</v>
      </c>
      <c r="I152" s="13">
        <f t="shared" si="1"/>
        <v>1.9097516656571774</v>
      </c>
    </row>
    <row r="153" spans="1:9">
      <c r="A153" s="5" t="s">
        <v>273</v>
      </c>
      <c r="B153" s="10" t="s">
        <v>107</v>
      </c>
      <c r="C153" s="6">
        <v>403</v>
      </c>
      <c r="D153" s="6">
        <v>536</v>
      </c>
      <c r="E153" s="6">
        <v>575</v>
      </c>
      <c r="F153" s="6">
        <v>727</v>
      </c>
      <c r="G153" s="11">
        <f t="shared" si="18"/>
        <v>2.593452333306652E-2</v>
      </c>
      <c r="H153" s="12">
        <v>2.2490000000000001</v>
      </c>
      <c r="I153" s="13">
        <f t="shared" si="1"/>
        <v>323.25477990217871</v>
      </c>
    </row>
    <row r="154" spans="1:9">
      <c r="A154" s="5" t="s">
        <v>274</v>
      </c>
      <c r="B154" s="10" t="s">
        <v>124</v>
      </c>
      <c r="C154" s="6">
        <v>6.2169999999999996</v>
      </c>
      <c r="D154" s="6">
        <v>7.3390000000000004</v>
      </c>
      <c r="E154" s="6">
        <v>8.3510000000000009</v>
      </c>
      <c r="F154" s="6">
        <v>12.836</v>
      </c>
      <c r="G154" s="11">
        <f t="shared" si="18"/>
        <v>3.4343916524410184E-2</v>
      </c>
      <c r="H154" s="12">
        <v>3.0419999999999998</v>
      </c>
      <c r="I154" s="13">
        <f t="shared" si="1"/>
        <v>4.2195923734385277</v>
      </c>
    </row>
    <row r="155" spans="1:9">
      <c r="A155" s="5" t="s">
        <v>275</v>
      </c>
      <c r="B155" s="10" t="s">
        <v>107</v>
      </c>
      <c r="C155" s="6">
        <v>447</v>
      </c>
      <c r="D155" s="6">
        <v>609</v>
      </c>
      <c r="E155" s="6">
        <v>805</v>
      </c>
      <c r="F155" s="6">
        <v>1.01</v>
      </c>
      <c r="G155" s="11">
        <f t="shared" si="18"/>
        <v>-3.2185177166774916E-2</v>
      </c>
      <c r="H155" s="12">
        <v>2.7589999999999999</v>
      </c>
      <c r="I155" s="13">
        <f t="shared" si="1"/>
        <v>0.36607466473359912</v>
      </c>
    </row>
    <row r="156" spans="1:9">
      <c r="A156" s="5" t="s">
        <v>276</v>
      </c>
      <c r="B156" s="10" t="s">
        <v>136</v>
      </c>
      <c r="C156" s="6" t="s">
        <v>116</v>
      </c>
      <c r="D156" s="6" t="s">
        <v>116</v>
      </c>
      <c r="E156" s="6" t="s">
        <v>116</v>
      </c>
      <c r="F156" s="6">
        <v>647</v>
      </c>
      <c r="G156" s="11">
        <v>0</v>
      </c>
      <c r="H156" s="12">
        <v>9.4719999999999995</v>
      </c>
      <c r="I156" s="13">
        <f t="shared" si="1"/>
        <v>68.306587837837839</v>
      </c>
    </row>
    <row r="157" spans="1:9">
      <c r="A157" s="5" t="s">
        <v>277</v>
      </c>
      <c r="B157" s="10" t="s">
        <v>190</v>
      </c>
      <c r="C157" s="6">
        <v>984</v>
      </c>
      <c r="D157" s="6">
        <v>1.22</v>
      </c>
      <c r="E157" s="6">
        <v>1.2410000000000001</v>
      </c>
      <c r="F157" s="6">
        <v>1.595</v>
      </c>
      <c r="G157" s="11">
        <f t="shared" ref="G157:G159" si="19">(F157-C157)/C157/31</f>
        <v>-3.2205776291633882E-2</v>
      </c>
      <c r="H157" s="12">
        <v>1.411</v>
      </c>
      <c r="I157" s="13">
        <f t="shared" si="1"/>
        <v>1.1304039688164422</v>
      </c>
    </row>
    <row r="158" spans="1:9">
      <c r="A158" s="5" t="s">
        <v>278</v>
      </c>
      <c r="B158" s="10" t="s">
        <v>119</v>
      </c>
      <c r="C158" s="6">
        <v>2.504</v>
      </c>
      <c r="D158" s="6">
        <v>3.3</v>
      </c>
      <c r="E158" s="6">
        <v>3.403</v>
      </c>
      <c r="F158" s="6">
        <v>7.9009999999999998</v>
      </c>
      <c r="G158" s="11">
        <f t="shared" si="19"/>
        <v>6.9527465732247759E-2</v>
      </c>
      <c r="H158" s="12">
        <v>23.97</v>
      </c>
      <c r="I158" s="13">
        <f t="shared" si="1"/>
        <v>0.32962035878181062</v>
      </c>
    </row>
    <row r="159" spans="1:9">
      <c r="A159" s="5" t="s">
        <v>279</v>
      </c>
      <c r="B159" s="10" t="s">
        <v>134</v>
      </c>
      <c r="C159" s="6">
        <v>36.116999999999997</v>
      </c>
      <c r="D159" s="6">
        <v>46.356000000000002</v>
      </c>
      <c r="E159" s="6">
        <v>53.970999999999997</v>
      </c>
      <c r="F159" s="6">
        <v>85.043000000000006</v>
      </c>
      <c r="G159" s="11">
        <f t="shared" si="19"/>
        <v>4.369848172650357E-2</v>
      </c>
      <c r="H159" s="12">
        <v>21.37</v>
      </c>
      <c r="I159" s="13">
        <f t="shared" si="1"/>
        <v>3.9795507721104353</v>
      </c>
    </row>
    <row r="160" spans="1:9">
      <c r="A160" s="5" t="s">
        <v>280</v>
      </c>
      <c r="B160" s="10" t="s">
        <v>138</v>
      </c>
      <c r="C160" s="6" t="s">
        <v>116</v>
      </c>
      <c r="D160" s="6" t="s">
        <v>116</v>
      </c>
      <c r="E160" s="6" t="s">
        <v>116</v>
      </c>
      <c r="F160" s="6">
        <v>1.117</v>
      </c>
      <c r="G160" s="11">
        <v>0</v>
      </c>
      <c r="H160" s="12">
        <v>3.7519999999999998</v>
      </c>
      <c r="I160" s="13">
        <f t="shared" si="1"/>
        <v>0.2977078891257996</v>
      </c>
    </row>
    <row r="161" spans="1:9">
      <c r="A161" s="5" t="s">
        <v>281</v>
      </c>
      <c r="B161" s="10" t="s">
        <v>105</v>
      </c>
      <c r="C161" s="6" t="s">
        <v>116</v>
      </c>
      <c r="D161" s="6" t="s">
        <v>116</v>
      </c>
      <c r="E161" s="6" t="s">
        <v>116</v>
      </c>
      <c r="F161" s="6">
        <v>1.276</v>
      </c>
      <c r="G161" s="11">
        <v>0</v>
      </c>
      <c r="H161" s="12">
        <v>1.57</v>
      </c>
      <c r="I161" s="13">
        <f t="shared" si="1"/>
        <v>0.81273885350318464</v>
      </c>
    </row>
    <row r="162" spans="1:9">
      <c r="A162" s="5" t="s">
        <v>282</v>
      </c>
      <c r="B162" s="10" t="s">
        <v>107</v>
      </c>
      <c r="C162" s="6">
        <v>474</v>
      </c>
      <c r="D162" s="6">
        <v>730</v>
      </c>
      <c r="E162" s="6">
        <v>907</v>
      </c>
      <c r="F162" s="6">
        <v>1.254</v>
      </c>
      <c r="G162" s="11">
        <f>(F162-C162)/C162/31</f>
        <v>-3.2172723560636995E-2</v>
      </c>
      <c r="H162" s="12">
        <v>1.254</v>
      </c>
      <c r="I162" s="13">
        <f t="shared" si="1"/>
        <v>1</v>
      </c>
    </row>
    <row r="163" spans="1:9">
      <c r="A163" s="5" t="s">
        <v>283</v>
      </c>
      <c r="B163" s="10" t="s">
        <v>105</v>
      </c>
      <c r="C163" s="6" t="s">
        <v>116</v>
      </c>
      <c r="D163" s="6" t="s">
        <v>116</v>
      </c>
      <c r="E163" s="6" t="s">
        <v>116</v>
      </c>
      <c r="F163" s="6">
        <v>449</v>
      </c>
      <c r="G163" s="11">
        <v>0</v>
      </c>
      <c r="H163" s="12">
        <v>1.95</v>
      </c>
      <c r="I163" s="13">
        <f t="shared" si="1"/>
        <v>230.25641025641025</v>
      </c>
    </row>
    <row r="164" spans="1:9">
      <c r="A164" s="5" t="s">
        <v>284</v>
      </c>
      <c r="B164" s="10" t="s">
        <v>105</v>
      </c>
      <c r="C164" s="6" t="s">
        <v>116</v>
      </c>
      <c r="D164" s="6" t="s">
        <v>116</v>
      </c>
      <c r="E164" s="6" t="s">
        <v>116</v>
      </c>
      <c r="F164" s="6">
        <v>543</v>
      </c>
      <c r="G164" s="11">
        <v>0</v>
      </c>
      <c r="H164" s="12">
        <v>4.6379999999999999</v>
      </c>
      <c r="I164" s="13">
        <f t="shared" si="1"/>
        <v>117.07632600258732</v>
      </c>
    </row>
    <row r="165" spans="1:9">
      <c r="A165" s="5" t="s">
        <v>285</v>
      </c>
      <c r="B165" s="10" t="s">
        <v>196</v>
      </c>
      <c r="C165" s="6">
        <v>1.0469999999999999</v>
      </c>
      <c r="D165" s="6">
        <v>1.085</v>
      </c>
      <c r="E165" s="6">
        <v>1.2050000000000001</v>
      </c>
      <c r="F165" s="6">
        <v>1.946</v>
      </c>
      <c r="G165" s="11">
        <f t="shared" ref="G165:G172" si="20">(F165-C165)/C165/31</f>
        <v>2.7698185291308502E-2</v>
      </c>
      <c r="H165" s="12">
        <v>2.9740000000000002</v>
      </c>
      <c r="I165" s="13">
        <f t="shared" si="1"/>
        <v>0.65433759246805645</v>
      </c>
    </row>
    <row r="166" spans="1:9">
      <c r="A166" s="5" t="s">
        <v>286</v>
      </c>
      <c r="B166" s="10" t="s">
        <v>105</v>
      </c>
      <c r="C166" s="6">
        <v>556</v>
      </c>
      <c r="D166" s="6">
        <v>1.099</v>
      </c>
      <c r="E166" s="6">
        <v>1.409</v>
      </c>
      <c r="F166" s="6">
        <v>2.262</v>
      </c>
      <c r="G166" s="11">
        <f t="shared" si="20"/>
        <v>-3.2126827570201903E-2</v>
      </c>
      <c r="H166" s="12">
        <v>3.7229999999999999</v>
      </c>
      <c r="I166" s="13">
        <f t="shared" si="1"/>
        <v>0.60757453666398065</v>
      </c>
    </row>
    <row r="167" spans="1:9">
      <c r="A167" s="5" t="s">
        <v>287</v>
      </c>
      <c r="B167" s="10" t="s">
        <v>105</v>
      </c>
      <c r="C167" s="6">
        <v>966</v>
      </c>
      <c r="D167" s="6">
        <v>1.77</v>
      </c>
      <c r="E167" s="6">
        <v>2.1680000000000001</v>
      </c>
      <c r="F167" s="6">
        <v>2.972</v>
      </c>
      <c r="G167" s="11">
        <f t="shared" si="20"/>
        <v>-3.2158819207907571E-2</v>
      </c>
      <c r="H167" s="12">
        <v>1.0109999999999999</v>
      </c>
      <c r="I167" s="13">
        <f t="shared" si="1"/>
        <v>2.9396636993076166</v>
      </c>
    </row>
    <row r="168" spans="1:9">
      <c r="A168" s="5" t="s">
        <v>288</v>
      </c>
      <c r="B168" s="10" t="s">
        <v>124</v>
      </c>
      <c r="C168" s="6">
        <v>249</v>
      </c>
      <c r="D168" s="6">
        <v>231</v>
      </c>
      <c r="E168" s="6">
        <v>291</v>
      </c>
      <c r="F168" s="6">
        <v>1.427</v>
      </c>
      <c r="G168" s="11">
        <f t="shared" si="20"/>
        <v>-3.2073196009845838E-2</v>
      </c>
      <c r="H168" s="12">
        <v>2.6869999999999998</v>
      </c>
      <c r="I168" s="13">
        <f t="shared" si="1"/>
        <v>0.53107554893933762</v>
      </c>
    </row>
    <row r="169" spans="1:9">
      <c r="A169" s="5" t="s">
        <v>289</v>
      </c>
      <c r="B169" s="10" t="s">
        <v>109</v>
      </c>
      <c r="C169" s="6">
        <v>642</v>
      </c>
      <c r="D169" s="6">
        <v>702</v>
      </c>
      <c r="E169" s="6">
        <v>699</v>
      </c>
      <c r="F169" s="6">
        <v>1.3220000000000001</v>
      </c>
      <c r="G169" s="11">
        <f t="shared" si="20"/>
        <v>-3.219163903125314E-2</v>
      </c>
      <c r="H169" s="12">
        <v>9.9909999999999997</v>
      </c>
      <c r="I169" s="13">
        <f t="shared" si="1"/>
        <v>0.13231908717846064</v>
      </c>
    </row>
    <row r="170" spans="1:9">
      <c r="A170" s="5" t="s">
        <v>290</v>
      </c>
      <c r="B170" s="10" t="s">
        <v>136</v>
      </c>
      <c r="C170" s="6">
        <v>812</v>
      </c>
      <c r="D170" s="6">
        <v>1.23</v>
      </c>
      <c r="E170" s="6">
        <v>1.2370000000000001</v>
      </c>
      <c r="F170" s="6">
        <v>2.89</v>
      </c>
      <c r="G170" s="11">
        <f t="shared" si="20"/>
        <v>-3.214325440966153E-2</v>
      </c>
      <c r="H170" s="12">
        <v>1.831</v>
      </c>
      <c r="I170" s="13">
        <f t="shared" si="1"/>
        <v>1.5783724740578919</v>
      </c>
    </row>
    <row r="171" spans="1:9">
      <c r="A171" s="5" t="s">
        <v>291</v>
      </c>
      <c r="B171" s="10" t="s">
        <v>138</v>
      </c>
      <c r="C171" s="6">
        <v>2.1030000000000002</v>
      </c>
      <c r="D171" s="6">
        <v>3.391</v>
      </c>
      <c r="E171" s="6">
        <v>4.4290000000000003</v>
      </c>
      <c r="F171" s="6">
        <v>7.1509999999999998</v>
      </c>
      <c r="G171" s="11">
        <f t="shared" si="20"/>
        <v>7.7431626094826123E-2</v>
      </c>
      <c r="H171" s="12">
        <v>2.7410000000000001</v>
      </c>
      <c r="I171" s="13">
        <f t="shared" si="1"/>
        <v>2.6089018606348047</v>
      </c>
    </row>
    <row r="172" spans="1:9">
      <c r="A172" s="5" t="s">
        <v>292</v>
      </c>
      <c r="B172" s="10" t="s">
        <v>136</v>
      </c>
      <c r="C172" s="6">
        <v>2.5110000000000001</v>
      </c>
      <c r="D172" s="6">
        <v>3.1949999999999998</v>
      </c>
      <c r="E172" s="6">
        <v>3.4590000000000001</v>
      </c>
      <c r="F172" s="6">
        <v>5.2610000000000001</v>
      </c>
      <c r="G172" s="11">
        <f t="shared" si="20"/>
        <v>3.5328425893809169E-2</v>
      </c>
      <c r="H172" s="12">
        <v>4.1959999999999997</v>
      </c>
      <c r="I172" s="13">
        <f t="shared" si="1"/>
        <v>1.2538131553860821</v>
      </c>
    </row>
    <row r="173" spans="1:9">
      <c r="A173" s="5" t="s">
        <v>293</v>
      </c>
      <c r="B173" s="10" t="s">
        <v>129</v>
      </c>
      <c r="C173" s="6" t="s">
        <v>116</v>
      </c>
      <c r="D173" s="6" t="s">
        <v>116</v>
      </c>
      <c r="E173" s="6" t="s">
        <v>116</v>
      </c>
      <c r="F173" s="6">
        <v>115</v>
      </c>
      <c r="G173" s="11">
        <v>0</v>
      </c>
      <c r="H173" s="12">
        <v>4.0439999999999996</v>
      </c>
      <c r="I173" s="13">
        <f t="shared" si="1"/>
        <v>28.437190900098916</v>
      </c>
    </row>
    <row r="174" spans="1:9">
      <c r="A174" s="5" t="s">
        <v>294</v>
      </c>
      <c r="B174" s="10" t="s">
        <v>105</v>
      </c>
      <c r="C174" s="6" t="s">
        <v>116</v>
      </c>
      <c r="D174" s="6">
        <v>169</v>
      </c>
      <c r="E174" s="6">
        <v>200</v>
      </c>
      <c r="F174" s="6">
        <v>393</v>
      </c>
      <c r="G174" s="11" t="e">
        <f t="shared" ref="G174:G175" si="21">(F174-C174)/C174/31</f>
        <v>#VALUE!</v>
      </c>
      <c r="H174" s="12">
        <v>8.3190000000000008</v>
      </c>
      <c r="I174" s="13">
        <f t="shared" si="1"/>
        <v>47.241254958528664</v>
      </c>
    </row>
    <row r="175" spans="1:9">
      <c r="A175" s="5" t="s">
        <v>295</v>
      </c>
      <c r="B175" s="10" t="s">
        <v>107</v>
      </c>
      <c r="C175" s="6">
        <v>2.9969999999999999</v>
      </c>
      <c r="D175" s="6">
        <v>3.6459999999999999</v>
      </c>
      <c r="E175" s="6">
        <v>4.24</v>
      </c>
      <c r="F175" s="6">
        <v>6.8259999999999996</v>
      </c>
      <c r="G175" s="11">
        <f t="shared" si="21"/>
        <v>4.1213256267019709E-2</v>
      </c>
      <c r="H175" s="12">
        <v>3.2709999999999999</v>
      </c>
      <c r="I175" s="13">
        <f t="shared" si="1"/>
        <v>2.0868236013451544</v>
      </c>
    </row>
    <row r="176" spans="1:9">
      <c r="A176" s="5" t="s">
        <v>296</v>
      </c>
      <c r="B176" s="10" t="s">
        <v>136</v>
      </c>
      <c r="C176" s="6" t="s">
        <v>116</v>
      </c>
      <c r="D176" s="6" t="s">
        <v>116</v>
      </c>
      <c r="E176" s="6" t="s">
        <v>116</v>
      </c>
      <c r="F176" s="6">
        <v>861</v>
      </c>
      <c r="G176" s="11">
        <v>0</v>
      </c>
      <c r="H176" s="12">
        <v>7.7220000000000004</v>
      </c>
      <c r="I176" s="13">
        <f t="shared" si="1"/>
        <v>111.49961149961149</v>
      </c>
    </row>
    <row r="177" spans="1:9">
      <c r="A177" s="5" t="s">
        <v>297</v>
      </c>
      <c r="B177" s="10" t="s">
        <v>144</v>
      </c>
      <c r="C177" s="6" t="s">
        <v>116</v>
      </c>
      <c r="D177" s="6" t="s">
        <v>116</v>
      </c>
      <c r="E177" s="6" t="s">
        <v>116</v>
      </c>
      <c r="F177" s="6">
        <v>833</v>
      </c>
      <c r="G177" s="11">
        <v>0</v>
      </c>
      <c r="H177" s="12">
        <v>4.673</v>
      </c>
      <c r="I177" s="13">
        <f t="shared" si="1"/>
        <v>178.2580783222769</v>
      </c>
    </row>
    <row r="178" spans="1:9">
      <c r="A178" s="5" t="s">
        <v>298</v>
      </c>
      <c r="B178" s="10" t="s">
        <v>138</v>
      </c>
      <c r="C178" s="6" t="s">
        <v>116</v>
      </c>
      <c r="D178" s="6" t="s">
        <v>116</v>
      </c>
      <c r="E178" s="6" t="s">
        <v>116</v>
      </c>
      <c r="F178" s="6">
        <v>51</v>
      </c>
      <c r="G178" s="11">
        <v>0</v>
      </c>
      <c r="H178" s="12">
        <v>4.21</v>
      </c>
      <c r="I178" s="13">
        <f t="shared" si="1"/>
        <v>12.114014251781473</v>
      </c>
    </row>
    <row r="179" spans="1:9">
      <c r="A179" s="5" t="s">
        <v>299</v>
      </c>
      <c r="B179" s="10" t="s">
        <v>115</v>
      </c>
      <c r="C179" s="6" t="s">
        <v>116</v>
      </c>
      <c r="D179" s="6" t="s">
        <v>116</v>
      </c>
      <c r="E179" s="6" t="s">
        <v>116</v>
      </c>
      <c r="F179" s="6">
        <v>400</v>
      </c>
      <c r="G179" s="11">
        <v>0</v>
      </c>
      <c r="H179" s="12">
        <v>2.8239999999999998</v>
      </c>
      <c r="I179" s="13">
        <f t="shared" si="1"/>
        <v>141.64305949008499</v>
      </c>
    </row>
    <row r="180" spans="1:9">
      <c r="A180" s="5" t="s">
        <v>300</v>
      </c>
      <c r="B180" s="15" t="s">
        <v>129</v>
      </c>
      <c r="C180" s="16" t="s">
        <v>116</v>
      </c>
      <c r="D180" s="16" t="s">
        <v>116</v>
      </c>
      <c r="E180" s="16" t="s">
        <v>116</v>
      </c>
      <c r="F180" s="16">
        <v>2.3140000000000001</v>
      </c>
      <c r="G180" s="11">
        <v>0</v>
      </c>
      <c r="H180" s="12">
        <v>1.0980000000000001</v>
      </c>
      <c r="I180" s="13">
        <f t="shared" si="1"/>
        <v>2.1074681238615662</v>
      </c>
    </row>
    <row r="181" spans="1:9">
      <c r="A181" s="5" t="s">
        <v>301</v>
      </c>
      <c r="B181" s="10" t="s">
        <v>144</v>
      </c>
      <c r="C181" s="6">
        <v>34.901000000000003</v>
      </c>
      <c r="D181" s="6">
        <v>50.826999999999998</v>
      </c>
      <c r="E181" s="6">
        <v>59.094999999999999</v>
      </c>
      <c r="F181" s="6">
        <v>79.239999999999995</v>
      </c>
      <c r="G181" s="11">
        <f>(F181-C181)/C181/31</f>
        <v>4.0981356482067702E-2</v>
      </c>
      <c r="H181" s="12">
        <v>30.78</v>
      </c>
      <c r="I181" s="13">
        <f t="shared" si="1"/>
        <v>2.5743989603638724</v>
      </c>
    </row>
    <row r="182" spans="1:9">
      <c r="A182" s="5" t="s">
        <v>302</v>
      </c>
      <c r="B182" s="10" t="s">
        <v>107</v>
      </c>
      <c r="C182" s="6" t="s">
        <v>116</v>
      </c>
      <c r="D182" s="6" t="s">
        <v>116</v>
      </c>
      <c r="E182" s="6" t="s">
        <v>116</v>
      </c>
      <c r="F182" s="6">
        <v>402</v>
      </c>
      <c r="G182" s="11">
        <v>0</v>
      </c>
      <c r="H182" s="12">
        <v>5.4640000000000004</v>
      </c>
      <c r="I182" s="13">
        <f t="shared" si="1"/>
        <v>73.572474377745237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Conglomerados</vt:lpstr>
      <vt:lpstr>Localidad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Miguel Perez</cp:lastModifiedBy>
  <dcterms:modified xsi:type="dcterms:W3CDTF">2026-06-01T00:57:24Z</dcterms:modified>
</cp:coreProperties>
</file>